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 drive Data\Desktop\Github Uploaded Projects\Excel Projects\"/>
    </mc:Choice>
  </mc:AlternateContent>
  <xr:revisionPtr revIDLastSave="0" documentId="8_{F7C07698-1A73-442F-86A9-7BE648899A9C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Sheet2" sheetId="3" state="hidden" r:id="rId1"/>
    <sheet name="Sheet3" sheetId="4" state="hidden" r:id="rId2"/>
    <sheet name="Employee Payroll" sheetId="1" r:id="rId3"/>
    <sheet name="Sheet4" sheetId="5" state="hidden" r:id="rId4"/>
    <sheet name="Sales Performance Analysis" sheetId="2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" i="2" l="1"/>
  <c r="AG6" i="2"/>
  <c r="AG7" i="2"/>
  <c r="AH7" i="2"/>
  <c r="AH8" i="2"/>
  <c r="AG8" i="2"/>
  <c r="AD6" i="2" a="1"/>
  <c r="AD6" i="2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V6" i="2"/>
  <c r="W6" i="2" s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6" i="2"/>
  <c r="M6" i="2" l="1"/>
  <c r="M101" i="2"/>
  <c r="M102" i="2"/>
  <c r="M103" i="2"/>
  <c r="M105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4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W16" i="1"/>
  <c r="W12" i="1"/>
  <c r="V7" i="1"/>
  <c r="W7" i="1"/>
  <c r="T7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8" i="1"/>
  <c r="T9" i="1"/>
  <c r="T10" i="1"/>
  <c r="T11" i="1"/>
  <c r="T12" i="1"/>
  <c r="T13" i="1"/>
  <c r="T14" i="1"/>
  <c r="T15" i="1"/>
  <c r="T1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L7" i="1"/>
  <c r="L52" i="1"/>
  <c r="L53" i="1"/>
  <c r="L54" i="1"/>
  <c r="L55" i="1"/>
  <c r="L56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8" i="1"/>
  <c r="L9" i="1"/>
  <c r="L10" i="1"/>
  <c r="L11" i="1"/>
  <c r="L12" i="1"/>
  <c r="L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<sst xmlns="http://schemas.openxmlformats.org/spreadsheetml/2006/main" count="948" uniqueCount="403">
  <si>
    <t>Employee ID</t>
  </si>
  <si>
    <t>Employee Name</t>
  </si>
  <si>
    <t>Department</t>
  </si>
  <si>
    <t>Joining Date</t>
  </si>
  <si>
    <t>Basic Salary</t>
  </si>
  <si>
    <t>HRA</t>
  </si>
  <si>
    <t>Allowances</t>
  </si>
  <si>
    <t>Deductions</t>
  </si>
  <si>
    <t>Net Salary</t>
  </si>
  <si>
    <t>EMP100</t>
  </si>
  <si>
    <t>Employee_1</t>
  </si>
  <si>
    <t>HR</t>
  </si>
  <si>
    <t>EMP101</t>
  </si>
  <si>
    <t>Employee_2</t>
  </si>
  <si>
    <t>EMP102</t>
  </si>
  <si>
    <t>Employee_3</t>
  </si>
  <si>
    <t>IT</t>
  </si>
  <si>
    <t>EMP103</t>
  </si>
  <si>
    <t>Employee_4</t>
  </si>
  <si>
    <t>EMP104</t>
  </si>
  <si>
    <t>Employee_5</t>
  </si>
  <si>
    <t>Marketing</t>
  </si>
  <si>
    <t>EMP105</t>
  </si>
  <si>
    <t>Employee_6</t>
  </si>
  <si>
    <t>EMP106</t>
  </si>
  <si>
    <t>Employee_7</t>
  </si>
  <si>
    <t>EMP107</t>
  </si>
  <si>
    <t>Employee_8</t>
  </si>
  <si>
    <t>Finance</t>
  </si>
  <si>
    <t>EMP108</t>
  </si>
  <si>
    <t>Employee_9</t>
  </si>
  <si>
    <t>EMP109</t>
  </si>
  <si>
    <t>Employee_10</t>
  </si>
  <si>
    <t>EMP110</t>
  </si>
  <si>
    <t>Employee_11</t>
  </si>
  <si>
    <t>EMP111</t>
  </si>
  <si>
    <t>Employee_12</t>
  </si>
  <si>
    <t>EMP112</t>
  </si>
  <si>
    <t>Employee_13</t>
  </si>
  <si>
    <t>EMP113</t>
  </si>
  <si>
    <t>Employee_14</t>
  </si>
  <si>
    <t>EMP114</t>
  </si>
  <si>
    <t>Employee_15</t>
  </si>
  <si>
    <t>EMP115</t>
  </si>
  <si>
    <t>Employee_16</t>
  </si>
  <si>
    <t>EMP116</t>
  </si>
  <si>
    <t>Employee_17</t>
  </si>
  <si>
    <t>EMP117</t>
  </si>
  <si>
    <t>Employee_18</t>
  </si>
  <si>
    <t>EMP118</t>
  </si>
  <si>
    <t>Employee_19</t>
  </si>
  <si>
    <t>EMP119</t>
  </si>
  <si>
    <t>Employee_20</t>
  </si>
  <si>
    <t>EMP120</t>
  </si>
  <si>
    <t>Employee_21</t>
  </si>
  <si>
    <t>EMP121</t>
  </si>
  <si>
    <t>Employee_22</t>
  </si>
  <si>
    <t>EMP122</t>
  </si>
  <si>
    <t>Employee_23</t>
  </si>
  <si>
    <t>EMP123</t>
  </si>
  <si>
    <t>Employee_24</t>
  </si>
  <si>
    <t>Sales</t>
  </si>
  <si>
    <t>EMP124</t>
  </si>
  <si>
    <t>Employee_25</t>
  </si>
  <si>
    <t>EMP125</t>
  </si>
  <si>
    <t>Employee_26</t>
  </si>
  <si>
    <t>EMP126</t>
  </si>
  <si>
    <t>Employee_27</t>
  </si>
  <si>
    <t>EMP127</t>
  </si>
  <si>
    <t>Employee_28</t>
  </si>
  <si>
    <t>EMP128</t>
  </si>
  <si>
    <t>Employee_29</t>
  </si>
  <si>
    <t>EMP129</t>
  </si>
  <si>
    <t>Employee_30</t>
  </si>
  <si>
    <t>EMP130</t>
  </si>
  <si>
    <t>Employee_31</t>
  </si>
  <si>
    <t>EMP131</t>
  </si>
  <si>
    <t>Employee_32</t>
  </si>
  <si>
    <t>EMP132</t>
  </si>
  <si>
    <t>Employee_33</t>
  </si>
  <si>
    <t>EMP133</t>
  </si>
  <si>
    <t>Employee_34</t>
  </si>
  <si>
    <t>EMP134</t>
  </si>
  <si>
    <t>Employee_35</t>
  </si>
  <si>
    <t>EMP135</t>
  </si>
  <si>
    <t>Employee_36</t>
  </si>
  <si>
    <t>EMP136</t>
  </si>
  <si>
    <t>Employee_37</t>
  </si>
  <si>
    <t>EMP137</t>
  </si>
  <si>
    <t>Employee_38</t>
  </si>
  <si>
    <t>EMP138</t>
  </si>
  <si>
    <t>Employee_39</t>
  </si>
  <si>
    <t>EMP139</t>
  </si>
  <si>
    <t>Employee_40</t>
  </si>
  <si>
    <t>EMP140</t>
  </si>
  <si>
    <t>Employee_41</t>
  </si>
  <si>
    <t>EMP141</t>
  </si>
  <si>
    <t>Employee_42</t>
  </si>
  <si>
    <t>EMP142</t>
  </si>
  <si>
    <t>Employee_43</t>
  </si>
  <si>
    <t>EMP143</t>
  </si>
  <si>
    <t>Employee_44</t>
  </si>
  <si>
    <t>EMP144</t>
  </si>
  <si>
    <t>Employee_45</t>
  </si>
  <si>
    <t>EMP145</t>
  </si>
  <si>
    <t>Employee_46</t>
  </si>
  <si>
    <t>EMP146</t>
  </si>
  <si>
    <t>Employee_47</t>
  </si>
  <si>
    <t>EMP147</t>
  </si>
  <si>
    <t>Employee_48</t>
  </si>
  <si>
    <t>EMP148</t>
  </si>
  <si>
    <t>Employee_49</t>
  </si>
  <si>
    <t>EMP149</t>
  </si>
  <si>
    <t>Employee_50</t>
  </si>
  <si>
    <t>1. Use VLOOKUP to find the Department of a given Employee ID.</t>
  </si>
  <si>
    <t>DEPARTMENT</t>
  </si>
  <si>
    <t>INDEX MATCH</t>
  </si>
  <si>
    <t>3. Use IF formula to categorize employees</t>
  </si>
  <si>
    <t>VLOOKUP(B7,B6:D56,3,FALSE)</t>
  </si>
  <si>
    <t xml:space="preserve">  2. Use INDEX + MATCH to get the Net Salary for an Employee by Name.</t>
  </si>
  <si>
    <t xml:space="preserve">INDEX MATCH </t>
  </si>
  <si>
    <t>INDEX(R7:R56,MATCH(C7,Q7:Q56,0))</t>
  </si>
  <si>
    <t>CATEGORY</t>
  </si>
  <si>
    <t>IF(J7&gt;50000,"High Salary","Normal Salary")</t>
  </si>
  <si>
    <t xml:space="preserve"> </t>
  </si>
  <si>
    <t>INDEX(C7:C56,MATCH(MAX(J7:J56),J7:J56,0))</t>
  </si>
  <si>
    <t>MAX SALARY</t>
  </si>
  <si>
    <t>MAX(J7:J56)</t>
  </si>
  <si>
    <r>
      <t xml:space="preserve">4. Find the </t>
    </r>
    <r>
      <rPr>
        <b/>
        <sz val="10"/>
        <color rgb="FF000000"/>
        <rFont val="Arial"/>
        <family val="2"/>
      </rPr>
      <t>maximum salary</t>
    </r>
    <r>
      <rPr>
        <sz val="10"/>
        <color rgb="FF000000"/>
        <rFont val="Arial"/>
        <family val="2"/>
      </rPr>
      <t xml:space="preserve"> and return the </t>
    </r>
    <r>
      <rPr>
        <b/>
        <sz val="10"/>
        <color rgb="FF000000"/>
        <rFont val="Arial"/>
        <family val="2"/>
      </rPr>
      <t>Employee Name</t>
    </r>
    <r>
      <rPr>
        <sz val="10"/>
        <color rgb="FF000000"/>
        <rFont val="Arial"/>
        <family val="2"/>
      </rPr>
      <t xml:space="preserve"> </t>
    </r>
  </si>
  <si>
    <t>5. Count how many employees belong to " FINANCE" department</t>
  </si>
  <si>
    <t>NO OF EMPLOYEES</t>
  </si>
  <si>
    <t>COUNTIF(D7:D56,"Finance")</t>
  </si>
  <si>
    <t>6.Calculate the total payroll expense</t>
  </si>
  <si>
    <t>TOTAL NET SALARY</t>
  </si>
  <si>
    <t>SUM(J7:J56)</t>
  </si>
  <si>
    <t>Row Labels</t>
  </si>
  <si>
    <t>Grand Total</t>
  </si>
  <si>
    <t>Sum of Net Salary</t>
  </si>
  <si>
    <t>Average of Net Salary</t>
  </si>
  <si>
    <t>7. (a) Create a Pivot Table to summarize total salary by department</t>
  </si>
  <si>
    <t>Order ID</t>
  </si>
  <si>
    <t>Order Date</t>
  </si>
  <si>
    <t>Customer Name</t>
  </si>
  <si>
    <t>Region</t>
  </si>
  <si>
    <t>Product Category</t>
  </si>
  <si>
    <t>Product Name</t>
  </si>
  <si>
    <t>Quantity</t>
  </si>
  <si>
    <t>Unit Price</t>
  </si>
  <si>
    <t>Total Sales</t>
  </si>
  <si>
    <t>Salesperson</t>
  </si>
  <si>
    <t>ORD2000</t>
  </si>
  <si>
    <t>Customer_1</t>
  </si>
  <si>
    <t>West</t>
  </si>
  <si>
    <t>Clothing</t>
  </si>
  <si>
    <t>Rice</t>
  </si>
  <si>
    <t>John</t>
  </si>
  <si>
    <t>ORD2001</t>
  </si>
  <si>
    <t>Customer_2</t>
  </si>
  <si>
    <t>Amit</t>
  </si>
  <si>
    <t>ORD2002</t>
  </si>
  <si>
    <t>Customer_3</t>
  </si>
  <si>
    <t>East</t>
  </si>
  <si>
    <t>Furniture</t>
  </si>
  <si>
    <t>Shirt</t>
  </si>
  <si>
    <t>ORD2003</t>
  </si>
  <si>
    <t>Customer_4</t>
  </si>
  <si>
    <t>North</t>
  </si>
  <si>
    <t>Electronics</t>
  </si>
  <si>
    <t>Shoes</t>
  </si>
  <si>
    <t>Priya</t>
  </si>
  <si>
    <t>ORD2004</t>
  </si>
  <si>
    <t>Customer_5</t>
  </si>
  <si>
    <t>South</t>
  </si>
  <si>
    <t>TV</t>
  </si>
  <si>
    <t>Sara</t>
  </si>
  <si>
    <t>ORD2005</t>
  </si>
  <si>
    <t>Customer_6</t>
  </si>
  <si>
    <t>ORD2006</t>
  </si>
  <si>
    <t>Customer_7</t>
  </si>
  <si>
    <t>Laptop</t>
  </si>
  <si>
    <t>ORD2007</t>
  </si>
  <si>
    <t>Customer_8</t>
  </si>
  <si>
    <t>Ravi</t>
  </si>
  <si>
    <t>ORD2008</t>
  </si>
  <si>
    <t>Customer_9</t>
  </si>
  <si>
    <t>Table</t>
  </si>
  <si>
    <t>ORD2009</t>
  </si>
  <si>
    <t>Customer_10</t>
  </si>
  <si>
    <t>Groceries</t>
  </si>
  <si>
    <t>ORD2010</t>
  </si>
  <si>
    <t>Customer_11</t>
  </si>
  <si>
    <t>Sofa</t>
  </si>
  <si>
    <t>ORD2011</t>
  </si>
  <si>
    <t>Customer_12</t>
  </si>
  <si>
    <t>ORD2012</t>
  </si>
  <si>
    <t>Customer_13</t>
  </si>
  <si>
    <t>ORD2013</t>
  </si>
  <si>
    <t>Customer_14</t>
  </si>
  <si>
    <t>ORD2014</t>
  </si>
  <si>
    <t>Customer_15</t>
  </si>
  <si>
    <t>ORD2015</t>
  </si>
  <si>
    <t>Customer_16</t>
  </si>
  <si>
    <t>ORD2016</t>
  </si>
  <si>
    <t>Customer_17</t>
  </si>
  <si>
    <t>ORD2017</t>
  </si>
  <si>
    <t>Customer_18</t>
  </si>
  <si>
    <t>ORD2018</t>
  </si>
  <si>
    <t>Customer_19</t>
  </si>
  <si>
    <t>ORD2019</t>
  </si>
  <si>
    <t>Customer_20</t>
  </si>
  <si>
    <t>ORD2020</t>
  </si>
  <si>
    <t>Customer_21</t>
  </si>
  <si>
    <t>Mobile</t>
  </si>
  <si>
    <t>ORD2021</t>
  </si>
  <si>
    <t>Customer_22</t>
  </si>
  <si>
    <t>ORD2022</t>
  </si>
  <si>
    <t>Customer_23</t>
  </si>
  <si>
    <t>ORD2023</t>
  </si>
  <si>
    <t>Customer_24</t>
  </si>
  <si>
    <t>ORD2024</t>
  </si>
  <si>
    <t>Customer_25</t>
  </si>
  <si>
    <t>ORD2025</t>
  </si>
  <si>
    <t>Customer_26</t>
  </si>
  <si>
    <t>ORD2026</t>
  </si>
  <si>
    <t>Customer_27</t>
  </si>
  <si>
    <t>ORD2027</t>
  </si>
  <si>
    <t>Customer_28</t>
  </si>
  <si>
    <t>ORD2028</t>
  </si>
  <si>
    <t>Customer_29</t>
  </si>
  <si>
    <t>ORD2029</t>
  </si>
  <si>
    <t>Customer_30</t>
  </si>
  <si>
    <t>ORD2030</t>
  </si>
  <si>
    <t>Customer_31</t>
  </si>
  <si>
    <t>ORD2031</t>
  </si>
  <si>
    <t>Customer_32</t>
  </si>
  <si>
    <t>ORD2032</t>
  </si>
  <si>
    <t>Customer_33</t>
  </si>
  <si>
    <t>ORD2033</t>
  </si>
  <si>
    <t>Customer_34</t>
  </si>
  <si>
    <t>ORD2034</t>
  </si>
  <si>
    <t>Customer_35</t>
  </si>
  <si>
    <t>ORD2035</t>
  </si>
  <si>
    <t>Customer_36</t>
  </si>
  <si>
    <t>ORD2036</t>
  </si>
  <si>
    <t>Customer_37</t>
  </si>
  <si>
    <t>ORD2037</t>
  </si>
  <si>
    <t>Customer_38</t>
  </si>
  <si>
    <t>ORD2038</t>
  </si>
  <si>
    <t>Customer_39</t>
  </si>
  <si>
    <t>ORD2039</t>
  </si>
  <si>
    <t>Customer_40</t>
  </si>
  <si>
    <t>ORD2040</t>
  </si>
  <si>
    <t>Customer_41</t>
  </si>
  <si>
    <t>ORD2041</t>
  </si>
  <si>
    <t>Customer_42</t>
  </si>
  <si>
    <t>ORD2042</t>
  </si>
  <si>
    <t>Customer_43</t>
  </si>
  <si>
    <t>ORD2043</t>
  </si>
  <si>
    <t>Customer_44</t>
  </si>
  <si>
    <t>ORD2044</t>
  </si>
  <si>
    <t>Customer_45</t>
  </si>
  <si>
    <t>ORD2045</t>
  </si>
  <si>
    <t>Customer_46</t>
  </si>
  <si>
    <t>ORD2046</t>
  </si>
  <si>
    <t>Customer_47</t>
  </si>
  <si>
    <t>ORD2047</t>
  </si>
  <si>
    <t>Customer_48</t>
  </si>
  <si>
    <t>ORD2048</t>
  </si>
  <si>
    <t>Customer_49</t>
  </si>
  <si>
    <t>ORD2049</t>
  </si>
  <si>
    <t>Customer_50</t>
  </si>
  <si>
    <t>ORD2050</t>
  </si>
  <si>
    <t>Customer_51</t>
  </si>
  <si>
    <t>ORD2051</t>
  </si>
  <si>
    <t>Customer_52</t>
  </si>
  <si>
    <t>ORD2052</t>
  </si>
  <si>
    <t>Customer_53</t>
  </si>
  <si>
    <t>ORD2053</t>
  </si>
  <si>
    <t>Customer_54</t>
  </si>
  <si>
    <t>ORD2054</t>
  </si>
  <si>
    <t>Customer_55</t>
  </si>
  <si>
    <t>ORD2055</t>
  </si>
  <si>
    <t>Customer_56</t>
  </si>
  <si>
    <t>ORD2056</t>
  </si>
  <si>
    <t>Customer_57</t>
  </si>
  <si>
    <t>ORD2057</t>
  </si>
  <si>
    <t>Customer_58</t>
  </si>
  <si>
    <t>ORD2058</t>
  </si>
  <si>
    <t>Customer_59</t>
  </si>
  <si>
    <t>ORD2059</t>
  </si>
  <si>
    <t>Customer_60</t>
  </si>
  <si>
    <t>ORD2060</t>
  </si>
  <si>
    <t>Customer_61</t>
  </si>
  <si>
    <t>ORD2061</t>
  </si>
  <si>
    <t>Customer_62</t>
  </si>
  <si>
    <t>ORD2062</t>
  </si>
  <si>
    <t>Customer_63</t>
  </si>
  <si>
    <t>ORD2063</t>
  </si>
  <si>
    <t>Customer_64</t>
  </si>
  <si>
    <t>ORD2064</t>
  </si>
  <si>
    <t>Customer_65</t>
  </si>
  <si>
    <t>ORD2065</t>
  </si>
  <si>
    <t>Customer_66</t>
  </si>
  <si>
    <t>ORD2066</t>
  </si>
  <si>
    <t>Customer_67</t>
  </si>
  <si>
    <t>ORD2067</t>
  </si>
  <si>
    <t>Customer_68</t>
  </si>
  <si>
    <t>ORD2068</t>
  </si>
  <si>
    <t>Customer_69</t>
  </si>
  <si>
    <t>ORD2069</t>
  </si>
  <si>
    <t>Customer_70</t>
  </si>
  <si>
    <t>ORD2070</t>
  </si>
  <si>
    <t>Customer_71</t>
  </si>
  <si>
    <t>ORD2071</t>
  </si>
  <si>
    <t>Customer_72</t>
  </si>
  <si>
    <t>ORD2072</t>
  </si>
  <si>
    <t>Customer_73</t>
  </si>
  <si>
    <t>ORD2073</t>
  </si>
  <si>
    <t>Customer_74</t>
  </si>
  <si>
    <t>ORD2074</t>
  </si>
  <si>
    <t>Customer_75</t>
  </si>
  <si>
    <t>ORD2075</t>
  </si>
  <si>
    <t>Customer_76</t>
  </si>
  <si>
    <t>ORD2076</t>
  </si>
  <si>
    <t>Customer_77</t>
  </si>
  <si>
    <t>ORD2077</t>
  </si>
  <si>
    <t>Customer_78</t>
  </si>
  <si>
    <t>ORD2078</t>
  </si>
  <si>
    <t>Customer_79</t>
  </si>
  <si>
    <t>ORD2079</t>
  </si>
  <si>
    <t>Customer_80</t>
  </si>
  <si>
    <t>ORD2080</t>
  </si>
  <si>
    <t>Customer_81</t>
  </si>
  <si>
    <t>ORD2081</t>
  </si>
  <si>
    <t>Customer_82</t>
  </si>
  <si>
    <t>ORD2082</t>
  </si>
  <si>
    <t>Customer_83</t>
  </si>
  <si>
    <t>ORD2083</t>
  </si>
  <si>
    <t>Customer_84</t>
  </si>
  <si>
    <t>ORD2084</t>
  </si>
  <si>
    <t>Customer_85</t>
  </si>
  <si>
    <t>ORD2085</t>
  </si>
  <si>
    <t>Customer_86</t>
  </si>
  <si>
    <t>ORD2086</t>
  </si>
  <si>
    <t>Customer_87</t>
  </si>
  <si>
    <t>ORD2087</t>
  </si>
  <si>
    <t>Customer_88</t>
  </si>
  <si>
    <t>ORD2088</t>
  </si>
  <si>
    <t>Customer_89</t>
  </si>
  <si>
    <t>ORD2089</t>
  </si>
  <si>
    <t>Customer_90</t>
  </si>
  <si>
    <t>ORD2090</t>
  </si>
  <si>
    <t>Customer_91</t>
  </si>
  <si>
    <t>ORD2091</t>
  </si>
  <si>
    <t>Customer_92</t>
  </si>
  <si>
    <t>ORD2092</t>
  </si>
  <si>
    <t>Customer_93</t>
  </si>
  <si>
    <t>ORD2093</t>
  </si>
  <si>
    <t>Customer_94</t>
  </si>
  <si>
    <t>ORD2094</t>
  </si>
  <si>
    <t>Customer_95</t>
  </si>
  <si>
    <t>ORD2095</t>
  </si>
  <si>
    <t>Customer_96</t>
  </si>
  <si>
    <t>ORD2096</t>
  </si>
  <si>
    <t>Customer_97</t>
  </si>
  <si>
    <t>ORD2097</t>
  </si>
  <si>
    <t>Customer_98</t>
  </si>
  <si>
    <t>ORD2098</t>
  </si>
  <si>
    <t>Customer_99</t>
  </si>
  <si>
    <t>ORD2099</t>
  </si>
  <si>
    <t>Customer_100</t>
  </si>
  <si>
    <t>Employee Payroll</t>
  </si>
  <si>
    <t>Sales Performance Analysis</t>
  </si>
  <si>
    <t>1. Use VLOOKUP to get the Unit Price of a given Product</t>
  </si>
  <si>
    <t>UNIT PRICE</t>
  </si>
  <si>
    <t>VLOOKUP(G6,G6:I105,3,FALSE)</t>
  </si>
  <si>
    <t>2.  Use HLOOKUP (or XLOOKUP) to fetch sales details for a given Order ID.</t>
  </si>
  <si>
    <t>XLOOKUP(B6,B6:B105,J6:J105)</t>
  </si>
  <si>
    <t>SALES DETAILS</t>
  </si>
  <si>
    <t>3. Use INDEX + MATCH to find the Customer Name who purchased the highest sales order</t>
  </si>
  <si>
    <t>HIGHEST SALES ORDER</t>
  </si>
  <si>
    <t>MAX(J6:J105)</t>
  </si>
  <si>
    <t>INDEX(D6:D105,MATCH(V6,J6:J105, 0))</t>
  </si>
  <si>
    <t>4. Use IF formula to classify Orders</t>
  </si>
  <si>
    <t>CLASSFICATION</t>
  </si>
  <si>
    <t>IF(J6&gt;10000,"Big Order","Small Order")</t>
  </si>
  <si>
    <t>5. Use FILTER function to extract only the sales done in Region = “South”</t>
  </si>
  <si>
    <t>REGION</t>
  </si>
  <si>
    <t>SALES DONE</t>
  </si>
  <si>
    <t>FILTER(J6:J105,E6:E105="south")</t>
  </si>
  <si>
    <t>south</t>
  </si>
  <si>
    <t>6. Find the top 3 Salespersons by sales value</t>
  </si>
  <si>
    <t>TOP 3 SALESPERSON</t>
  </si>
  <si>
    <t>HIGHEST SALES</t>
  </si>
  <si>
    <t>LARGE(J6:J105,1)</t>
  </si>
  <si>
    <t>INDEX(K6:K105,MATCH(AG6,J6:J105,0))</t>
  </si>
  <si>
    <t>7. (a) Create a Pivot Table to summarize Sales by Region</t>
  </si>
  <si>
    <t>Sum of Total Sales</t>
  </si>
  <si>
    <t xml:space="preserve"> Total Sales</t>
  </si>
  <si>
    <t>7. (b) Create a Pivot Table to summarize Sales by Product Category</t>
  </si>
  <si>
    <t>7. (c) Create a Pivot Table to summarize Sales by Salesperson</t>
  </si>
  <si>
    <t xml:space="preserve">Sales Person </t>
  </si>
  <si>
    <t>7. (b) Create a Pivot Table to summarize average salary by 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</si>
</sst>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Arial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7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7" borderId="1" xfId="0" applyFont="1" applyFill="1" applyBorder="1"/>
    <xf numFmtId="0" fontId="13" fillId="0" borderId="0" xfId="0" applyFont="1" applyFill="1" applyAlignment="1">
      <alignment wrapText="1"/>
    </xf>
    <xf numFmtId="0" fontId="1" fillId="2" borderId="0" xfId="0" applyFont="1" applyFill="1"/>
    <xf numFmtId="0" fontId="14" fillId="0" borderId="0" xfId="0" applyFont="1"/>
    <xf numFmtId="0" fontId="12" fillId="0" borderId="0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 wrapText="1"/>
    </xf>
    <xf numFmtId="0" fontId="12" fillId="4" borderId="3" xfId="0" applyFont="1" applyFill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FCC99"/>
      <color rgb="FF00D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Sheeba" refreshedDate="45979.822061921295" createdVersion="7" refreshedVersion="7" minRefreshableVersion="3" recordCount="50" xr:uid="{4F256EE5-611A-468B-A555-FDC13DAE1A97}">
  <cacheSource type="worksheet">
    <worksheetSource ref="B6:J56" sheet="Employee Payroll"/>
  </cacheSource>
  <cacheFields count="9">
    <cacheField name="Employee ID" numFmtId="0">
      <sharedItems/>
    </cacheField>
    <cacheField name="Employee Name" numFmtId="0">
      <sharedItems/>
    </cacheField>
    <cacheField name="Department" numFmtId="0">
      <sharedItems count="5">
        <s v="HR"/>
        <s v="IT"/>
        <s v="Marketing"/>
        <s v="Finance"/>
        <s v="Sales"/>
      </sharedItems>
    </cacheField>
    <cacheField name="Joining Date" numFmtId="14">
      <sharedItems containsSemiMixedTypes="0" containsNonDate="0" containsDate="1" containsString="0" minDate="2018-01-01T00:00:00" maxDate="2030-01-29T00:00:00"/>
    </cacheField>
    <cacheField name="Basic Salary" numFmtId="0">
      <sharedItems containsSemiMixedTypes="0" containsString="0" containsNumber="1" containsInteger="1" minValue="20096" maxValue="56249"/>
    </cacheField>
    <cacheField name="HRA" numFmtId="0">
      <sharedItems containsSemiMixedTypes="0" containsString="0" containsNumber="1" containsInteger="1" minValue="5262" maxValue="14729"/>
    </cacheField>
    <cacheField name="Allowances" numFmtId="0">
      <sharedItems containsSemiMixedTypes="0" containsString="0" containsNumber="1" containsInteger="1" minValue="2271" maxValue="9980"/>
    </cacheField>
    <cacheField name="Deductions" numFmtId="0">
      <sharedItems containsSemiMixedTypes="0" containsString="0" containsNumber="1" containsInteger="1" minValue="1017" maxValue="7925"/>
    </cacheField>
    <cacheField name="Net Salary" numFmtId="0">
      <sharedItems containsSemiMixedTypes="0" containsString="0" containsNumber="1" containsInteger="1" minValue="21318" maxValue="718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Sheeba" refreshedDate="45979.955285648146" createdVersion="7" refreshedVersion="7" minRefreshableVersion="3" recordCount="100" xr:uid="{32D44282-084B-40E7-B270-744FD795FB0B}">
  <cacheSource type="worksheet">
    <worksheetSource ref="B5:K105" sheet="Sales Performance Analysis"/>
  </cacheSource>
  <cacheFields count="10">
    <cacheField name="Order ID" numFmtId="0">
      <sharedItems/>
    </cacheField>
    <cacheField name="Order Date" numFmtId="0">
      <sharedItems containsSemiMixedTypes="0" containsString="0" containsNumber="1" containsInteger="1" minValue="44927" maxValue="45026"/>
    </cacheField>
    <cacheField name="Customer Nam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Product Category" numFmtId="0">
      <sharedItems count="4">
        <s v="Clothing"/>
        <s v="Furniture"/>
        <s v="Electronics"/>
        <s v="Groceries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1" maxValue="1992"/>
    </cacheField>
    <cacheField name="Total Sales" numFmtId="0">
      <sharedItems containsSemiMixedTypes="0" containsString="0" containsNumber="1" containsInteger="1" minValue="228" maxValue="16731"/>
    </cacheField>
    <cacheField name="Salesperson" numFmtId="0">
      <sharedItems count="5">
        <s v="John"/>
        <s v="Amit"/>
        <s v="Priya"/>
        <s v="Sara"/>
        <s v="Rav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MP100"/>
    <s v="Employee_1"/>
    <x v="0"/>
    <d v="2018-01-01T00:00:00"/>
    <n v="35725"/>
    <n v="13172"/>
    <n v="6142"/>
    <n v="6342"/>
    <n v="48697"/>
  </r>
  <r>
    <s v="EMP101"/>
    <s v="Employee_2"/>
    <x v="0"/>
    <d v="2018-04-01T00:00:00"/>
    <n v="48030"/>
    <n v="12750"/>
    <n v="2271"/>
    <n v="6318"/>
    <n v="56733"/>
  </r>
  <r>
    <s v="EMP102"/>
    <s v="Employee_3"/>
    <x v="1"/>
    <d v="2018-06-30T00:00:00"/>
    <n v="37730"/>
    <n v="6389"/>
    <n v="5387"/>
    <n v="5648"/>
    <n v="43858"/>
  </r>
  <r>
    <s v="EMP103"/>
    <s v="Employee_4"/>
    <x v="0"/>
    <d v="2018-09-28T00:00:00"/>
    <n v="35377"/>
    <n v="13563"/>
    <n v="8440"/>
    <n v="4959"/>
    <n v="52421"/>
  </r>
  <r>
    <s v="EMP104"/>
    <s v="Employee_5"/>
    <x v="2"/>
    <d v="2018-12-27T00:00:00"/>
    <n v="27763"/>
    <n v="13582"/>
    <n v="5481"/>
    <n v="2994"/>
    <n v="43832"/>
  </r>
  <r>
    <s v="EMP105"/>
    <s v="Employee_6"/>
    <x v="0"/>
    <d v="2019-03-27T00:00:00"/>
    <n v="43766"/>
    <n v="12950"/>
    <n v="5373"/>
    <n v="1460"/>
    <n v="60629"/>
  </r>
  <r>
    <s v="EMP106"/>
    <s v="Employee_7"/>
    <x v="1"/>
    <d v="2019-06-25T00:00:00"/>
    <n v="42241"/>
    <n v="13447"/>
    <n v="5505"/>
    <n v="4737"/>
    <n v="56456"/>
  </r>
  <r>
    <s v="EMP107"/>
    <s v="Employee_8"/>
    <x v="3"/>
    <d v="2019-09-23T00:00:00"/>
    <n v="20096"/>
    <n v="8316"/>
    <n v="7888"/>
    <n v="2514"/>
    <n v="33786"/>
  </r>
  <r>
    <s v="EMP108"/>
    <s v="Employee_9"/>
    <x v="2"/>
    <d v="2019-12-22T00:00:00"/>
    <n v="43166"/>
    <n v="9455"/>
    <n v="3443"/>
    <n v="5731"/>
    <n v="50333"/>
  </r>
  <r>
    <s v="EMP109"/>
    <s v="Employee_10"/>
    <x v="0"/>
    <d v="2020-03-21T00:00:00"/>
    <n v="25664"/>
    <n v="5950"/>
    <n v="5997"/>
    <n v="2521"/>
    <n v="35090"/>
  </r>
  <r>
    <s v="EMP110"/>
    <s v="Employee_11"/>
    <x v="3"/>
    <d v="2020-06-19T00:00:00"/>
    <n v="53710"/>
    <n v="11087"/>
    <n v="9553"/>
    <n v="5231"/>
    <n v="69119"/>
  </r>
  <r>
    <s v="EMP111"/>
    <s v="Employee_12"/>
    <x v="3"/>
    <d v="2020-09-17T00:00:00"/>
    <n v="20111"/>
    <n v="6153"/>
    <n v="2979"/>
    <n v="7925"/>
    <n v="21318"/>
  </r>
  <r>
    <s v="EMP112"/>
    <s v="Employee_13"/>
    <x v="3"/>
    <d v="2020-12-16T00:00:00"/>
    <n v="56249"/>
    <n v="13747"/>
    <n v="2836"/>
    <n v="2452"/>
    <n v="70380"/>
  </r>
  <r>
    <s v="EMP113"/>
    <s v="Employee_14"/>
    <x v="0"/>
    <d v="2021-03-16T00:00:00"/>
    <n v="37747"/>
    <n v="8258"/>
    <n v="9070"/>
    <n v="1763"/>
    <n v="53312"/>
  </r>
  <r>
    <s v="EMP114"/>
    <s v="Employee_15"/>
    <x v="1"/>
    <d v="2021-06-14T00:00:00"/>
    <n v="55662"/>
    <n v="14573"/>
    <n v="5933"/>
    <n v="4329"/>
    <n v="71839"/>
  </r>
  <r>
    <s v="EMP115"/>
    <s v="Employee_16"/>
    <x v="0"/>
    <d v="2021-09-12T00:00:00"/>
    <n v="23325"/>
    <n v="13887"/>
    <n v="3510"/>
    <n v="6879"/>
    <n v="33843"/>
  </r>
  <r>
    <s v="EMP116"/>
    <s v="Employee_17"/>
    <x v="1"/>
    <d v="2021-12-11T00:00:00"/>
    <n v="51140"/>
    <n v="11578"/>
    <n v="4108"/>
    <n v="2230"/>
    <n v="64596"/>
  </r>
  <r>
    <s v="EMP117"/>
    <s v="Employee_18"/>
    <x v="0"/>
    <d v="2022-03-11T00:00:00"/>
    <n v="34944"/>
    <n v="12992"/>
    <n v="2321"/>
    <n v="4512"/>
    <n v="45745"/>
  </r>
  <r>
    <s v="EMP118"/>
    <s v="Employee_19"/>
    <x v="3"/>
    <d v="2022-06-09T00:00:00"/>
    <n v="37476"/>
    <n v="6329"/>
    <n v="5956"/>
    <n v="7615"/>
    <n v="42146"/>
  </r>
  <r>
    <s v="EMP119"/>
    <s v="Employee_20"/>
    <x v="1"/>
    <d v="2022-09-07T00:00:00"/>
    <n v="27985"/>
    <n v="9626"/>
    <n v="6862"/>
    <n v="5671"/>
    <n v="38802"/>
  </r>
  <r>
    <s v="EMP120"/>
    <s v="Employee_21"/>
    <x v="2"/>
    <d v="2022-12-06T00:00:00"/>
    <n v="46626"/>
    <n v="14729"/>
    <n v="3996"/>
    <n v="1481"/>
    <n v="63870"/>
  </r>
  <r>
    <s v="EMP121"/>
    <s v="Employee_22"/>
    <x v="0"/>
    <d v="2023-03-06T00:00:00"/>
    <n v="26484"/>
    <n v="10036"/>
    <n v="2323"/>
    <n v="3563"/>
    <n v="35280"/>
  </r>
  <r>
    <s v="EMP122"/>
    <s v="Employee_23"/>
    <x v="0"/>
    <d v="2023-06-04T00:00:00"/>
    <n v="37730"/>
    <n v="12913"/>
    <n v="9980"/>
    <n v="1017"/>
    <n v="59606"/>
  </r>
  <r>
    <s v="EMP123"/>
    <s v="Employee_24"/>
    <x v="4"/>
    <d v="2023-09-02T00:00:00"/>
    <n v="50255"/>
    <n v="12224"/>
    <n v="2819"/>
    <n v="6208"/>
    <n v="59090"/>
  </r>
  <r>
    <s v="EMP124"/>
    <s v="Employee_25"/>
    <x v="0"/>
    <d v="2023-12-01T00:00:00"/>
    <n v="26648"/>
    <n v="13534"/>
    <n v="5719"/>
    <n v="5846"/>
    <n v="40055"/>
  </r>
  <r>
    <s v="EMP125"/>
    <s v="Employee_26"/>
    <x v="2"/>
    <d v="2024-02-29T00:00:00"/>
    <n v="42461"/>
    <n v="7709"/>
    <n v="2998"/>
    <n v="4287"/>
    <n v="48881"/>
  </r>
  <r>
    <s v="EMP126"/>
    <s v="Employee_27"/>
    <x v="1"/>
    <d v="2024-05-29T00:00:00"/>
    <n v="43728"/>
    <n v="7521"/>
    <n v="6184"/>
    <n v="5293"/>
    <n v="52140"/>
  </r>
  <r>
    <s v="EMP127"/>
    <s v="Employee_28"/>
    <x v="3"/>
    <d v="2024-08-27T00:00:00"/>
    <n v="37543"/>
    <n v="14705"/>
    <n v="8086"/>
    <n v="3657"/>
    <n v="56677"/>
  </r>
  <r>
    <s v="EMP128"/>
    <s v="Employee_29"/>
    <x v="2"/>
    <d v="2024-11-25T00:00:00"/>
    <n v="24195"/>
    <n v="10474"/>
    <n v="9309"/>
    <n v="3610"/>
    <n v="40368"/>
  </r>
  <r>
    <s v="EMP129"/>
    <s v="Employee_30"/>
    <x v="4"/>
    <d v="2025-02-23T00:00:00"/>
    <n v="22428"/>
    <n v="11027"/>
    <n v="6508"/>
    <n v="4429"/>
    <n v="35534"/>
  </r>
  <r>
    <s v="EMP130"/>
    <s v="Employee_31"/>
    <x v="3"/>
    <d v="2025-05-24T00:00:00"/>
    <n v="28028"/>
    <n v="14438"/>
    <n v="7484"/>
    <n v="6250"/>
    <n v="43700"/>
  </r>
  <r>
    <s v="EMP131"/>
    <s v="Employee_32"/>
    <x v="2"/>
    <d v="2025-08-22T00:00:00"/>
    <n v="23252"/>
    <n v="5262"/>
    <n v="3343"/>
    <n v="7802"/>
    <n v="24055"/>
  </r>
  <r>
    <s v="EMP132"/>
    <s v="Employee_33"/>
    <x v="3"/>
    <d v="2025-11-20T00:00:00"/>
    <n v="37766"/>
    <n v="6111"/>
    <n v="6436"/>
    <n v="6934"/>
    <n v="43379"/>
  </r>
  <r>
    <s v="EMP133"/>
    <s v="Employee_34"/>
    <x v="4"/>
    <d v="2026-02-18T00:00:00"/>
    <n v="48513"/>
    <n v="14230"/>
    <n v="6004"/>
    <n v="1557"/>
    <n v="67190"/>
  </r>
  <r>
    <s v="EMP134"/>
    <s v="Employee_35"/>
    <x v="1"/>
    <d v="2026-05-19T00:00:00"/>
    <n v="31894"/>
    <n v="6222"/>
    <n v="9799"/>
    <n v="1931"/>
    <n v="45984"/>
  </r>
  <r>
    <s v="EMP135"/>
    <s v="Employee_36"/>
    <x v="2"/>
    <d v="2026-08-17T00:00:00"/>
    <n v="49534"/>
    <n v="11284"/>
    <n v="8640"/>
    <n v="6650"/>
    <n v="62808"/>
  </r>
  <r>
    <s v="EMP136"/>
    <s v="Employee_37"/>
    <x v="3"/>
    <d v="2026-11-15T00:00:00"/>
    <n v="50107"/>
    <n v="5438"/>
    <n v="4528"/>
    <n v="3523"/>
    <n v="56550"/>
  </r>
  <r>
    <s v="EMP137"/>
    <s v="Employee_38"/>
    <x v="3"/>
    <d v="2027-02-13T00:00:00"/>
    <n v="22338"/>
    <n v="7587"/>
    <n v="3401"/>
    <n v="1686"/>
    <n v="31640"/>
  </r>
  <r>
    <s v="EMP138"/>
    <s v="Employee_39"/>
    <x v="4"/>
    <d v="2027-05-14T00:00:00"/>
    <n v="36972"/>
    <n v="12569"/>
    <n v="2424"/>
    <n v="5022"/>
    <n v="46943"/>
  </r>
  <r>
    <s v="EMP139"/>
    <s v="Employee_40"/>
    <x v="1"/>
    <d v="2027-08-12T00:00:00"/>
    <n v="40355"/>
    <n v="6902"/>
    <n v="9640"/>
    <n v="3551"/>
    <n v="53346"/>
  </r>
  <r>
    <s v="EMP140"/>
    <s v="Employee_41"/>
    <x v="4"/>
    <d v="2027-11-10T00:00:00"/>
    <n v="32394"/>
    <n v="8914"/>
    <n v="9028"/>
    <n v="5169"/>
    <n v="45167"/>
  </r>
  <r>
    <s v="EMP141"/>
    <s v="Employee_42"/>
    <x v="4"/>
    <d v="2028-02-08T00:00:00"/>
    <n v="22624"/>
    <n v="14059"/>
    <n v="4810"/>
    <n v="3622"/>
    <n v="37871"/>
  </r>
  <r>
    <s v="EMP142"/>
    <s v="Employee_43"/>
    <x v="4"/>
    <d v="2028-05-08T00:00:00"/>
    <n v="21442"/>
    <n v="8700"/>
    <n v="9103"/>
    <n v="2731"/>
    <n v="36514"/>
  </r>
  <r>
    <s v="EMP143"/>
    <s v="Employee_44"/>
    <x v="2"/>
    <d v="2028-08-06T00:00:00"/>
    <n v="29018"/>
    <n v="9195"/>
    <n v="8202"/>
    <n v="2675"/>
    <n v="43740"/>
  </r>
  <r>
    <s v="EMP144"/>
    <s v="Employee_45"/>
    <x v="1"/>
    <d v="2028-11-04T00:00:00"/>
    <n v="29610"/>
    <n v="7241"/>
    <n v="9661"/>
    <n v="6530"/>
    <n v="39982"/>
  </r>
  <r>
    <s v="EMP145"/>
    <s v="Employee_46"/>
    <x v="4"/>
    <d v="2029-02-02T00:00:00"/>
    <n v="34029"/>
    <n v="7863"/>
    <n v="6173"/>
    <n v="3140"/>
    <n v="44925"/>
  </r>
  <r>
    <s v="EMP146"/>
    <s v="Employee_47"/>
    <x v="3"/>
    <d v="2029-05-03T00:00:00"/>
    <n v="43012"/>
    <n v="7541"/>
    <n v="4056"/>
    <n v="3507"/>
    <n v="51102"/>
  </r>
  <r>
    <s v="EMP147"/>
    <s v="Employee_48"/>
    <x v="0"/>
    <d v="2029-08-01T00:00:00"/>
    <n v="35631"/>
    <n v="6669"/>
    <n v="9374"/>
    <n v="4978"/>
    <n v="46696"/>
  </r>
  <r>
    <s v="EMP148"/>
    <s v="Employee_49"/>
    <x v="4"/>
    <d v="2029-10-30T00:00:00"/>
    <n v="43531"/>
    <n v="14325"/>
    <n v="6486"/>
    <n v="3947"/>
    <n v="60395"/>
  </r>
  <r>
    <s v="EMP149"/>
    <s v="Employee_50"/>
    <x v="0"/>
    <d v="2030-01-28T00:00:00"/>
    <n v="29981"/>
    <n v="10206"/>
    <n v="9233"/>
    <n v="7701"/>
    <n v="417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2000"/>
    <n v="44927"/>
    <s v="Customer_1"/>
    <x v="0"/>
    <x v="0"/>
    <s v="Rice"/>
    <n v="8"/>
    <n v="101"/>
    <n v="808"/>
    <x v="0"/>
  </r>
  <r>
    <s v="ORD2001"/>
    <n v="44928"/>
    <s v="Customer_2"/>
    <x v="0"/>
    <x v="0"/>
    <s v="Rice"/>
    <n v="4"/>
    <n v="233"/>
    <n v="932"/>
    <x v="1"/>
  </r>
  <r>
    <s v="ORD2002"/>
    <n v="44929"/>
    <s v="Customer_3"/>
    <x v="1"/>
    <x v="1"/>
    <s v="Shirt"/>
    <n v="4"/>
    <n v="461"/>
    <n v="1844"/>
    <x v="0"/>
  </r>
  <r>
    <s v="ORD2003"/>
    <n v="44930"/>
    <s v="Customer_4"/>
    <x v="2"/>
    <x v="2"/>
    <s v="Shoes"/>
    <n v="6"/>
    <n v="1205"/>
    <n v="7230"/>
    <x v="2"/>
  </r>
  <r>
    <s v="ORD2004"/>
    <n v="44931"/>
    <s v="Customer_5"/>
    <x v="3"/>
    <x v="2"/>
    <s v="TV"/>
    <n v="7"/>
    <n v="1799"/>
    <n v="12593"/>
    <x v="3"/>
  </r>
  <r>
    <s v="ORD2005"/>
    <n v="44932"/>
    <s v="Customer_6"/>
    <x v="3"/>
    <x v="2"/>
    <s v="Shoes"/>
    <n v="1"/>
    <n v="689"/>
    <n v="689"/>
    <x v="0"/>
  </r>
  <r>
    <s v="ORD2006"/>
    <n v="44933"/>
    <s v="Customer_7"/>
    <x v="2"/>
    <x v="1"/>
    <s v="Laptop"/>
    <n v="9"/>
    <n v="125"/>
    <n v="1125"/>
    <x v="3"/>
  </r>
  <r>
    <s v="ORD2007"/>
    <n v="44934"/>
    <s v="Customer_8"/>
    <x v="3"/>
    <x v="1"/>
    <s v="Laptop"/>
    <n v="8"/>
    <n v="709"/>
    <n v="5672"/>
    <x v="4"/>
  </r>
  <r>
    <s v="ORD2008"/>
    <n v="44935"/>
    <s v="Customer_9"/>
    <x v="1"/>
    <x v="2"/>
    <s v="Table"/>
    <n v="8"/>
    <n v="729"/>
    <n v="5832"/>
    <x v="3"/>
  </r>
  <r>
    <s v="ORD2009"/>
    <n v="44936"/>
    <s v="Customer_10"/>
    <x v="3"/>
    <x v="3"/>
    <s v="Shirt"/>
    <n v="5"/>
    <n v="577"/>
    <n v="2885"/>
    <x v="4"/>
  </r>
  <r>
    <s v="ORD2010"/>
    <n v="44937"/>
    <s v="Customer_11"/>
    <x v="2"/>
    <x v="2"/>
    <s v="Sofa"/>
    <n v="5"/>
    <n v="554"/>
    <n v="2770"/>
    <x v="0"/>
  </r>
  <r>
    <s v="ORD2011"/>
    <n v="44938"/>
    <s v="Customer_12"/>
    <x v="2"/>
    <x v="0"/>
    <s v="Laptop"/>
    <n v="6"/>
    <n v="542"/>
    <n v="3252"/>
    <x v="0"/>
  </r>
  <r>
    <s v="ORD2012"/>
    <n v="44939"/>
    <s v="Customer_13"/>
    <x v="1"/>
    <x v="0"/>
    <s v="Rice"/>
    <n v="1"/>
    <n v="1537"/>
    <n v="1537"/>
    <x v="2"/>
  </r>
  <r>
    <s v="ORD2013"/>
    <n v="44940"/>
    <s v="Customer_14"/>
    <x v="2"/>
    <x v="3"/>
    <s v="Shirt"/>
    <n v="9"/>
    <n v="693"/>
    <n v="6237"/>
    <x v="0"/>
  </r>
  <r>
    <s v="ORD2014"/>
    <n v="44941"/>
    <s v="Customer_15"/>
    <x v="3"/>
    <x v="1"/>
    <s v="Sofa"/>
    <n v="3"/>
    <n v="505"/>
    <n v="1515"/>
    <x v="0"/>
  </r>
  <r>
    <s v="ORD2015"/>
    <n v="44942"/>
    <s v="Customer_16"/>
    <x v="2"/>
    <x v="1"/>
    <s v="Rice"/>
    <n v="6"/>
    <n v="1268"/>
    <n v="7608"/>
    <x v="4"/>
  </r>
  <r>
    <s v="ORD2016"/>
    <n v="44943"/>
    <s v="Customer_17"/>
    <x v="1"/>
    <x v="3"/>
    <s v="Table"/>
    <n v="2"/>
    <n v="1410"/>
    <n v="2820"/>
    <x v="1"/>
  </r>
  <r>
    <s v="ORD2017"/>
    <n v="44944"/>
    <s v="Customer_18"/>
    <x v="1"/>
    <x v="1"/>
    <s v="Table"/>
    <n v="6"/>
    <n v="539"/>
    <n v="3234"/>
    <x v="3"/>
  </r>
  <r>
    <s v="ORD2018"/>
    <n v="44945"/>
    <s v="Customer_19"/>
    <x v="0"/>
    <x v="0"/>
    <s v="Sofa"/>
    <n v="3"/>
    <n v="564"/>
    <n v="1692"/>
    <x v="3"/>
  </r>
  <r>
    <s v="ORD2019"/>
    <n v="44946"/>
    <s v="Customer_20"/>
    <x v="1"/>
    <x v="3"/>
    <s v="Rice"/>
    <n v="5"/>
    <n v="1282"/>
    <n v="6410"/>
    <x v="2"/>
  </r>
  <r>
    <s v="ORD2020"/>
    <n v="44947"/>
    <s v="Customer_21"/>
    <x v="0"/>
    <x v="1"/>
    <s v="Mobile"/>
    <n v="4"/>
    <n v="1136"/>
    <n v="4544"/>
    <x v="3"/>
  </r>
  <r>
    <s v="ORD2021"/>
    <n v="44948"/>
    <s v="Customer_22"/>
    <x v="0"/>
    <x v="0"/>
    <s v="Mobile"/>
    <n v="1"/>
    <n v="1726"/>
    <n v="1726"/>
    <x v="0"/>
  </r>
  <r>
    <s v="ORD2022"/>
    <n v="44949"/>
    <s v="Customer_23"/>
    <x v="1"/>
    <x v="1"/>
    <s v="Table"/>
    <n v="4"/>
    <n v="1591"/>
    <n v="6364"/>
    <x v="2"/>
  </r>
  <r>
    <s v="ORD2023"/>
    <n v="44950"/>
    <s v="Customer_24"/>
    <x v="2"/>
    <x v="3"/>
    <s v="Rice"/>
    <n v="8"/>
    <n v="1524"/>
    <n v="12192"/>
    <x v="3"/>
  </r>
  <r>
    <s v="ORD2024"/>
    <n v="44951"/>
    <s v="Customer_25"/>
    <x v="3"/>
    <x v="0"/>
    <s v="Sofa"/>
    <n v="8"/>
    <n v="192"/>
    <n v="1536"/>
    <x v="2"/>
  </r>
  <r>
    <s v="ORD2025"/>
    <n v="44952"/>
    <s v="Customer_26"/>
    <x v="2"/>
    <x v="0"/>
    <s v="Mobile"/>
    <n v="3"/>
    <n v="1674"/>
    <n v="5022"/>
    <x v="3"/>
  </r>
  <r>
    <s v="ORD2026"/>
    <n v="44953"/>
    <s v="Customer_27"/>
    <x v="0"/>
    <x v="2"/>
    <s v="Shoes"/>
    <n v="6"/>
    <n v="1478"/>
    <n v="8868"/>
    <x v="3"/>
  </r>
  <r>
    <s v="ORD2027"/>
    <n v="44954"/>
    <s v="Customer_28"/>
    <x v="3"/>
    <x v="3"/>
    <s v="Shoes"/>
    <n v="2"/>
    <n v="1643"/>
    <n v="3286"/>
    <x v="0"/>
  </r>
  <r>
    <s v="ORD2028"/>
    <n v="44955"/>
    <s v="Customer_29"/>
    <x v="0"/>
    <x v="2"/>
    <s v="Table"/>
    <n v="8"/>
    <n v="718"/>
    <n v="5744"/>
    <x v="4"/>
  </r>
  <r>
    <s v="ORD2029"/>
    <n v="44956"/>
    <s v="Customer_30"/>
    <x v="2"/>
    <x v="3"/>
    <s v="Mobile"/>
    <n v="6"/>
    <n v="265"/>
    <n v="1590"/>
    <x v="0"/>
  </r>
  <r>
    <s v="ORD2030"/>
    <n v="44957"/>
    <s v="Customer_31"/>
    <x v="2"/>
    <x v="1"/>
    <s v="Laptop"/>
    <n v="2"/>
    <n v="114"/>
    <n v="228"/>
    <x v="3"/>
  </r>
  <r>
    <s v="ORD2031"/>
    <n v="44958"/>
    <s v="Customer_32"/>
    <x v="2"/>
    <x v="1"/>
    <s v="Shoes"/>
    <n v="3"/>
    <n v="725"/>
    <n v="2175"/>
    <x v="3"/>
  </r>
  <r>
    <s v="ORD2032"/>
    <n v="44959"/>
    <s v="Customer_33"/>
    <x v="3"/>
    <x v="3"/>
    <s v="Shoes"/>
    <n v="9"/>
    <n v="740"/>
    <n v="6660"/>
    <x v="4"/>
  </r>
  <r>
    <s v="ORD2033"/>
    <n v="44960"/>
    <s v="Customer_34"/>
    <x v="3"/>
    <x v="0"/>
    <s v="TV"/>
    <n v="6"/>
    <n v="580"/>
    <n v="3480"/>
    <x v="0"/>
  </r>
  <r>
    <s v="ORD2034"/>
    <n v="44961"/>
    <s v="Customer_35"/>
    <x v="3"/>
    <x v="3"/>
    <s v="Shirt"/>
    <n v="1"/>
    <n v="1766"/>
    <n v="1766"/>
    <x v="1"/>
  </r>
  <r>
    <s v="ORD2035"/>
    <n v="44962"/>
    <s v="Customer_36"/>
    <x v="3"/>
    <x v="2"/>
    <s v="Table"/>
    <n v="4"/>
    <n v="1161"/>
    <n v="4644"/>
    <x v="1"/>
  </r>
  <r>
    <s v="ORD2036"/>
    <n v="44963"/>
    <s v="Customer_37"/>
    <x v="3"/>
    <x v="2"/>
    <s v="Shirt"/>
    <n v="4"/>
    <n v="1043"/>
    <n v="4172"/>
    <x v="2"/>
  </r>
  <r>
    <s v="ORD2037"/>
    <n v="44964"/>
    <s v="Customer_38"/>
    <x v="2"/>
    <x v="1"/>
    <s v="Sofa"/>
    <n v="4"/>
    <n v="1186"/>
    <n v="4744"/>
    <x v="1"/>
  </r>
  <r>
    <s v="ORD2038"/>
    <n v="44965"/>
    <s v="Customer_39"/>
    <x v="2"/>
    <x v="0"/>
    <s v="Sofa"/>
    <n v="2"/>
    <n v="545"/>
    <n v="1090"/>
    <x v="4"/>
  </r>
  <r>
    <s v="ORD2039"/>
    <n v="44966"/>
    <s v="Customer_40"/>
    <x v="3"/>
    <x v="3"/>
    <s v="Sofa"/>
    <n v="8"/>
    <n v="626"/>
    <n v="5008"/>
    <x v="1"/>
  </r>
  <r>
    <s v="ORD2040"/>
    <n v="44967"/>
    <s v="Customer_41"/>
    <x v="2"/>
    <x v="0"/>
    <s v="Laptop"/>
    <n v="7"/>
    <n v="1185"/>
    <n v="8295"/>
    <x v="1"/>
  </r>
  <r>
    <s v="ORD2041"/>
    <n v="44968"/>
    <s v="Customer_42"/>
    <x v="3"/>
    <x v="0"/>
    <s v="Sofa"/>
    <n v="4"/>
    <n v="992"/>
    <n v="3968"/>
    <x v="4"/>
  </r>
  <r>
    <s v="ORD2042"/>
    <n v="44969"/>
    <s v="Customer_43"/>
    <x v="2"/>
    <x v="1"/>
    <s v="Sofa"/>
    <n v="2"/>
    <n v="461"/>
    <n v="922"/>
    <x v="3"/>
  </r>
  <r>
    <s v="ORD2043"/>
    <n v="44970"/>
    <s v="Customer_44"/>
    <x v="1"/>
    <x v="0"/>
    <s v="Mobile"/>
    <n v="8"/>
    <n v="1205"/>
    <n v="9640"/>
    <x v="0"/>
  </r>
  <r>
    <s v="ORD2044"/>
    <n v="44971"/>
    <s v="Customer_45"/>
    <x v="2"/>
    <x v="1"/>
    <s v="Shoes"/>
    <n v="3"/>
    <n v="649"/>
    <n v="1947"/>
    <x v="4"/>
  </r>
  <r>
    <s v="ORD2045"/>
    <n v="44972"/>
    <s v="Customer_46"/>
    <x v="1"/>
    <x v="1"/>
    <s v="Laptop"/>
    <n v="7"/>
    <n v="322"/>
    <n v="2254"/>
    <x v="0"/>
  </r>
  <r>
    <s v="ORD2046"/>
    <n v="44973"/>
    <s v="Customer_47"/>
    <x v="3"/>
    <x v="2"/>
    <s v="Laptop"/>
    <n v="6"/>
    <n v="1527"/>
    <n v="9162"/>
    <x v="3"/>
  </r>
  <r>
    <s v="ORD2047"/>
    <n v="44974"/>
    <s v="Customer_48"/>
    <x v="0"/>
    <x v="1"/>
    <s v="Shoes"/>
    <n v="9"/>
    <n v="542"/>
    <n v="4878"/>
    <x v="3"/>
  </r>
  <r>
    <s v="ORD2048"/>
    <n v="44975"/>
    <s v="Customer_49"/>
    <x v="3"/>
    <x v="2"/>
    <s v="TV"/>
    <n v="5"/>
    <n v="1130"/>
    <n v="5650"/>
    <x v="1"/>
  </r>
  <r>
    <s v="ORD2049"/>
    <n v="44976"/>
    <s v="Customer_50"/>
    <x v="3"/>
    <x v="0"/>
    <s v="Laptop"/>
    <n v="8"/>
    <n v="1992"/>
    <n v="15936"/>
    <x v="1"/>
  </r>
  <r>
    <s v="ORD2050"/>
    <n v="44977"/>
    <s v="Customer_51"/>
    <x v="0"/>
    <x v="3"/>
    <s v="Laptop"/>
    <n v="9"/>
    <n v="1707"/>
    <n v="15363"/>
    <x v="4"/>
  </r>
  <r>
    <s v="ORD2051"/>
    <n v="44978"/>
    <s v="Customer_52"/>
    <x v="3"/>
    <x v="1"/>
    <s v="Sofa"/>
    <n v="6"/>
    <n v="945"/>
    <n v="5670"/>
    <x v="0"/>
  </r>
  <r>
    <s v="ORD2052"/>
    <n v="44979"/>
    <s v="Customer_53"/>
    <x v="3"/>
    <x v="2"/>
    <s v="Shoes"/>
    <n v="3"/>
    <n v="341"/>
    <n v="1023"/>
    <x v="3"/>
  </r>
  <r>
    <s v="ORD2053"/>
    <n v="44980"/>
    <s v="Customer_54"/>
    <x v="1"/>
    <x v="3"/>
    <s v="Rice"/>
    <n v="5"/>
    <n v="1970"/>
    <n v="9850"/>
    <x v="3"/>
  </r>
  <r>
    <s v="ORD2054"/>
    <n v="44981"/>
    <s v="Customer_55"/>
    <x v="0"/>
    <x v="0"/>
    <s v="Shirt"/>
    <n v="4"/>
    <n v="1348"/>
    <n v="5392"/>
    <x v="0"/>
  </r>
  <r>
    <s v="ORD2055"/>
    <n v="44982"/>
    <s v="Customer_56"/>
    <x v="0"/>
    <x v="1"/>
    <s v="Rice"/>
    <n v="4"/>
    <n v="663"/>
    <n v="2652"/>
    <x v="3"/>
  </r>
  <r>
    <s v="ORD2056"/>
    <n v="44983"/>
    <s v="Customer_57"/>
    <x v="3"/>
    <x v="2"/>
    <s v="Mobile"/>
    <n v="2"/>
    <n v="1989"/>
    <n v="3978"/>
    <x v="1"/>
  </r>
  <r>
    <s v="ORD2057"/>
    <n v="44984"/>
    <s v="Customer_58"/>
    <x v="1"/>
    <x v="0"/>
    <s v="Rice"/>
    <n v="8"/>
    <n v="1383"/>
    <n v="11064"/>
    <x v="2"/>
  </r>
  <r>
    <s v="ORD2058"/>
    <n v="44985"/>
    <s v="Customer_59"/>
    <x v="1"/>
    <x v="1"/>
    <s v="TV"/>
    <n v="9"/>
    <n v="1252"/>
    <n v="11268"/>
    <x v="1"/>
  </r>
  <r>
    <s v="ORD2059"/>
    <n v="44986"/>
    <s v="Customer_60"/>
    <x v="3"/>
    <x v="0"/>
    <s v="Sofa"/>
    <n v="6"/>
    <n v="1228"/>
    <n v="7368"/>
    <x v="4"/>
  </r>
  <r>
    <s v="ORD2060"/>
    <n v="44987"/>
    <s v="Customer_61"/>
    <x v="2"/>
    <x v="1"/>
    <s v="Laptop"/>
    <n v="8"/>
    <n v="1762"/>
    <n v="14096"/>
    <x v="3"/>
  </r>
  <r>
    <s v="ORD2061"/>
    <n v="44988"/>
    <s v="Customer_62"/>
    <x v="2"/>
    <x v="2"/>
    <s v="TV"/>
    <n v="8"/>
    <n v="1250"/>
    <n v="10000"/>
    <x v="2"/>
  </r>
  <r>
    <s v="ORD2062"/>
    <n v="44989"/>
    <s v="Customer_63"/>
    <x v="0"/>
    <x v="0"/>
    <s v="Shirt"/>
    <n v="8"/>
    <n v="433"/>
    <n v="3464"/>
    <x v="0"/>
  </r>
  <r>
    <s v="ORD2063"/>
    <n v="44990"/>
    <s v="Customer_64"/>
    <x v="2"/>
    <x v="2"/>
    <s v="Table"/>
    <n v="6"/>
    <n v="706"/>
    <n v="4236"/>
    <x v="2"/>
  </r>
  <r>
    <s v="ORD2064"/>
    <n v="44991"/>
    <s v="Customer_65"/>
    <x v="1"/>
    <x v="3"/>
    <s v="Sofa"/>
    <n v="1"/>
    <n v="265"/>
    <n v="265"/>
    <x v="4"/>
  </r>
  <r>
    <s v="ORD2065"/>
    <n v="44992"/>
    <s v="Customer_66"/>
    <x v="1"/>
    <x v="1"/>
    <s v="Shoes"/>
    <n v="1"/>
    <n v="1749"/>
    <n v="1749"/>
    <x v="4"/>
  </r>
  <r>
    <s v="ORD2066"/>
    <n v="44993"/>
    <s v="Customer_67"/>
    <x v="2"/>
    <x v="0"/>
    <s v="Sofa"/>
    <n v="9"/>
    <n v="1688"/>
    <n v="15192"/>
    <x v="2"/>
  </r>
  <r>
    <s v="ORD2067"/>
    <n v="44994"/>
    <s v="Customer_68"/>
    <x v="1"/>
    <x v="3"/>
    <s v="Shoes"/>
    <n v="2"/>
    <n v="951"/>
    <n v="1902"/>
    <x v="4"/>
  </r>
  <r>
    <s v="ORD2068"/>
    <n v="44995"/>
    <s v="Customer_69"/>
    <x v="0"/>
    <x v="0"/>
    <s v="Shoes"/>
    <n v="1"/>
    <n v="1894"/>
    <n v="1894"/>
    <x v="4"/>
  </r>
  <r>
    <s v="ORD2069"/>
    <n v="44996"/>
    <s v="Customer_70"/>
    <x v="0"/>
    <x v="0"/>
    <s v="Sofa"/>
    <n v="5"/>
    <n v="1617"/>
    <n v="8085"/>
    <x v="3"/>
  </r>
  <r>
    <s v="ORD2070"/>
    <n v="44997"/>
    <s v="Customer_71"/>
    <x v="3"/>
    <x v="3"/>
    <s v="Shoes"/>
    <n v="6"/>
    <n v="1348"/>
    <n v="8088"/>
    <x v="3"/>
  </r>
  <r>
    <s v="ORD2071"/>
    <n v="44998"/>
    <s v="Customer_72"/>
    <x v="2"/>
    <x v="2"/>
    <s v="Mobile"/>
    <n v="5"/>
    <n v="1650"/>
    <n v="8250"/>
    <x v="0"/>
  </r>
  <r>
    <s v="ORD2072"/>
    <n v="44999"/>
    <s v="Customer_73"/>
    <x v="0"/>
    <x v="3"/>
    <s v="Table"/>
    <n v="6"/>
    <n v="614"/>
    <n v="3684"/>
    <x v="1"/>
  </r>
  <r>
    <s v="ORD2073"/>
    <n v="45000"/>
    <s v="Customer_74"/>
    <x v="1"/>
    <x v="3"/>
    <s v="Laptop"/>
    <n v="1"/>
    <n v="959"/>
    <n v="959"/>
    <x v="2"/>
  </r>
  <r>
    <s v="ORD2074"/>
    <n v="45001"/>
    <s v="Customer_75"/>
    <x v="1"/>
    <x v="1"/>
    <s v="Rice"/>
    <n v="8"/>
    <n v="1086"/>
    <n v="8688"/>
    <x v="0"/>
  </r>
  <r>
    <s v="ORD2075"/>
    <n v="45002"/>
    <s v="Customer_76"/>
    <x v="0"/>
    <x v="0"/>
    <s v="Shirt"/>
    <n v="2"/>
    <n v="466"/>
    <n v="932"/>
    <x v="0"/>
  </r>
  <r>
    <s v="ORD2076"/>
    <n v="45003"/>
    <s v="Customer_77"/>
    <x v="3"/>
    <x v="1"/>
    <s v="Table"/>
    <n v="3"/>
    <n v="1362"/>
    <n v="4086"/>
    <x v="0"/>
  </r>
  <r>
    <s v="ORD2077"/>
    <n v="45004"/>
    <s v="Customer_78"/>
    <x v="2"/>
    <x v="2"/>
    <s v="Mobile"/>
    <n v="3"/>
    <n v="772"/>
    <n v="2316"/>
    <x v="0"/>
  </r>
  <r>
    <s v="ORD2078"/>
    <n v="45005"/>
    <s v="Customer_79"/>
    <x v="2"/>
    <x v="2"/>
    <s v="Shirt"/>
    <n v="8"/>
    <n v="1051"/>
    <n v="8408"/>
    <x v="2"/>
  </r>
  <r>
    <s v="ORD2079"/>
    <n v="45006"/>
    <s v="Customer_80"/>
    <x v="1"/>
    <x v="3"/>
    <s v="Mobile"/>
    <n v="8"/>
    <n v="477"/>
    <n v="3816"/>
    <x v="0"/>
  </r>
  <r>
    <s v="ORD2080"/>
    <n v="45007"/>
    <s v="Customer_81"/>
    <x v="3"/>
    <x v="3"/>
    <s v="Table"/>
    <n v="4"/>
    <n v="1412"/>
    <n v="5648"/>
    <x v="0"/>
  </r>
  <r>
    <s v="ORD2081"/>
    <n v="45008"/>
    <s v="Customer_82"/>
    <x v="0"/>
    <x v="0"/>
    <s v="TV"/>
    <n v="7"/>
    <n v="1538"/>
    <n v="10766"/>
    <x v="1"/>
  </r>
  <r>
    <s v="ORD2082"/>
    <n v="45009"/>
    <s v="Customer_83"/>
    <x v="1"/>
    <x v="2"/>
    <s v="Laptop"/>
    <n v="2"/>
    <n v="871"/>
    <n v="1742"/>
    <x v="3"/>
  </r>
  <r>
    <s v="ORD2083"/>
    <n v="45010"/>
    <s v="Customer_84"/>
    <x v="0"/>
    <x v="1"/>
    <s v="Table"/>
    <n v="9"/>
    <n v="1859"/>
    <n v="16731"/>
    <x v="1"/>
  </r>
  <r>
    <s v="ORD2084"/>
    <n v="45011"/>
    <s v="Customer_85"/>
    <x v="1"/>
    <x v="2"/>
    <s v="TV"/>
    <n v="5"/>
    <n v="1357"/>
    <n v="6785"/>
    <x v="3"/>
  </r>
  <r>
    <s v="ORD2085"/>
    <n v="45012"/>
    <s v="Customer_86"/>
    <x v="3"/>
    <x v="1"/>
    <s v="Rice"/>
    <n v="2"/>
    <n v="1343"/>
    <n v="2686"/>
    <x v="3"/>
  </r>
  <r>
    <s v="ORD2086"/>
    <n v="45013"/>
    <s v="Customer_87"/>
    <x v="0"/>
    <x v="1"/>
    <s v="TV"/>
    <n v="7"/>
    <n v="1371"/>
    <n v="9597"/>
    <x v="0"/>
  </r>
  <r>
    <s v="ORD2087"/>
    <n v="45014"/>
    <s v="Customer_88"/>
    <x v="2"/>
    <x v="2"/>
    <s v="Sofa"/>
    <n v="6"/>
    <n v="1971"/>
    <n v="11826"/>
    <x v="3"/>
  </r>
  <r>
    <s v="ORD2088"/>
    <n v="45015"/>
    <s v="Customer_89"/>
    <x v="1"/>
    <x v="1"/>
    <s v="Shoes"/>
    <n v="1"/>
    <n v="980"/>
    <n v="980"/>
    <x v="2"/>
  </r>
  <r>
    <s v="ORD2089"/>
    <n v="45016"/>
    <s v="Customer_90"/>
    <x v="0"/>
    <x v="0"/>
    <s v="Laptop"/>
    <n v="4"/>
    <n v="1230"/>
    <n v="4920"/>
    <x v="1"/>
  </r>
  <r>
    <s v="ORD2090"/>
    <n v="45017"/>
    <s v="Customer_91"/>
    <x v="1"/>
    <x v="1"/>
    <s v="Mobile"/>
    <n v="2"/>
    <n v="1855"/>
    <n v="3710"/>
    <x v="2"/>
  </r>
  <r>
    <s v="ORD2091"/>
    <n v="45018"/>
    <s v="Customer_92"/>
    <x v="2"/>
    <x v="1"/>
    <s v="Mobile"/>
    <n v="4"/>
    <n v="1970"/>
    <n v="7880"/>
    <x v="0"/>
  </r>
  <r>
    <s v="ORD2092"/>
    <n v="45019"/>
    <s v="Customer_93"/>
    <x v="1"/>
    <x v="1"/>
    <s v="TV"/>
    <n v="8"/>
    <n v="211"/>
    <n v="1688"/>
    <x v="1"/>
  </r>
  <r>
    <s v="ORD2093"/>
    <n v="45020"/>
    <s v="Customer_94"/>
    <x v="1"/>
    <x v="0"/>
    <s v="Mobile"/>
    <n v="8"/>
    <n v="1657"/>
    <n v="13256"/>
    <x v="3"/>
  </r>
  <r>
    <s v="ORD2094"/>
    <n v="45021"/>
    <s v="Customer_95"/>
    <x v="3"/>
    <x v="3"/>
    <s v="Sofa"/>
    <n v="8"/>
    <n v="258"/>
    <n v="2064"/>
    <x v="1"/>
  </r>
  <r>
    <s v="ORD2095"/>
    <n v="45022"/>
    <s v="Customer_96"/>
    <x v="0"/>
    <x v="1"/>
    <s v="Shoes"/>
    <n v="6"/>
    <n v="799"/>
    <n v="4794"/>
    <x v="1"/>
  </r>
  <r>
    <s v="ORD2096"/>
    <n v="45023"/>
    <s v="Customer_97"/>
    <x v="3"/>
    <x v="0"/>
    <s v="Shirt"/>
    <n v="4"/>
    <n v="952"/>
    <n v="3808"/>
    <x v="1"/>
  </r>
  <r>
    <s v="ORD2097"/>
    <n v="45024"/>
    <s v="Customer_98"/>
    <x v="3"/>
    <x v="0"/>
    <s v="Shoes"/>
    <n v="7"/>
    <n v="899"/>
    <n v="6293"/>
    <x v="3"/>
  </r>
  <r>
    <s v="ORD2098"/>
    <n v="45025"/>
    <s v="Customer_99"/>
    <x v="1"/>
    <x v="3"/>
    <s v="Shirt"/>
    <n v="4"/>
    <n v="170"/>
    <n v="680"/>
    <x v="1"/>
  </r>
  <r>
    <s v="ORD2099"/>
    <n v="45026"/>
    <s v="Customer_100"/>
    <x v="2"/>
    <x v="2"/>
    <s v="Table"/>
    <n v="6"/>
    <n v="1860"/>
    <n v="1116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902C8-2403-4BFA-B7F4-2780502A5D0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V30:W36" firstHeaderRow="1" firstDataRow="1" firstDataCol="1"/>
  <pivotFields count="9"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numFmtId="14"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Net Salary" fld="8" subtotal="average" baseField="2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8CF95-B2F8-4049-980E-F83565E6FD0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V20:W26" firstHeaderRow="1" firstDataRow="1" firstDataCol="1"/>
  <pivotFields count="9"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numFmtId="14"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Salary" fld="8" baseField="2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A09FA-9179-487A-AE37-D8467E501D28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0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71BE8-F6E0-4F63-9702-C60AB3A4806A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 Category">
  <location ref="AG21:AH26" firstHeaderRow="1" firstDataRow="1" firstDataCol="1"/>
  <pivotFields count="10"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Total Sales" fld="8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C4B4E-7AD2-455B-9A8C-D6CDE4BF13BF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gion">
  <location ref="AG12:AH17" firstHeaderRow="1" firstDataRow="1" firstDataCol="1"/>
  <pivotFields count="10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Total Sales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786CA-09FB-4D25-A998-9D0CC397CDA3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ales Person ">
  <location ref="AG30:AH36" firstHeaderRow="1" firstDataRow="1" firstDataCol="1"/>
  <pivotFields count="10"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6">
        <item x="1"/>
        <item x="0"/>
        <item x="2"/>
        <item x="4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Total Sales" fld="8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6468-70C9-4565-B8F0-A58EDEF4EA39}">
  <dimension ref="A1"/>
  <sheetViews>
    <sheetView workbookViewId="0">
      <selection activeCell="P21" sqref="P20:P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859C-1CF9-46F7-9C9C-1CB7A1A2A580}">
  <dimension ref="A1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N56"/>
  <sheetViews>
    <sheetView zoomScale="89" zoomScaleNormal="100" workbookViewId="0">
      <selection activeCell="Z17" sqref="Z17"/>
    </sheetView>
  </sheetViews>
  <sheetFormatPr defaultRowHeight="14.4" x14ac:dyDescent="0.3"/>
  <cols>
    <col min="1" max="1" width="8.88671875" style="15"/>
    <col min="2" max="2" width="11.21875" style="15" bestFit="1" customWidth="1"/>
    <col min="3" max="3" width="14.44140625" style="15" bestFit="1" customWidth="1"/>
    <col min="4" max="4" width="10.77734375" style="15" bestFit="1" customWidth="1"/>
    <col min="5" max="5" width="11.21875" style="15" bestFit="1" customWidth="1"/>
    <col min="6" max="6" width="10.77734375" style="15" bestFit="1" customWidth="1"/>
    <col min="7" max="7" width="8.88671875" style="15"/>
    <col min="8" max="9" width="10.44140625" style="15" bestFit="1" customWidth="1"/>
    <col min="10" max="10" width="9.5546875" style="15" customWidth="1"/>
    <col min="11" max="11" width="7.44140625" style="15" customWidth="1"/>
    <col min="12" max="12" width="29.5546875" style="15" customWidth="1"/>
    <col min="13" max="13" width="8.88671875" style="15" customWidth="1"/>
    <col min="14" max="14" width="11.21875" style="15" bestFit="1" customWidth="1"/>
    <col min="15" max="15" width="8.77734375" style="15" customWidth="1"/>
    <col min="16" max="16" width="37.21875" style="15" bestFit="1" customWidth="1"/>
    <col min="17" max="17" width="14.88671875" style="15" bestFit="1" customWidth="1"/>
    <col min="18" max="18" width="9.5546875" style="15" bestFit="1" customWidth="1"/>
    <col min="19" max="19" width="11.5546875" style="15" customWidth="1"/>
    <col min="20" max="20" width="37" style="15" customWidth="1"/>
    <col min="21" max="21" width="9.6640625" style="15" customWidth="1"/>
    <col min="22" max="22" width="25.5546875" style="15" customWidth="1"/>
    <col min="23" max="23" width="47.21875" style="15" customWidth="1"/>
    <col min="24" max="24" width="10.77734375" style="15" bestFit="1" customWidth="1"/>
    <col min="25" max="25" width="13.77734375" style="15" customWidth="1"/>
    <col min="26" max="27" width="10.44140625" style="15" bestFit="1" customWidth="1"/>
    <col min="28" max="28" width="13.33203125" style="15" customWidth="1"/>
    <col min="29" max="29" width="22.21875" style="15" customWidth="1"/>
    <col min="30" max="16384" width="8.88671875" style="15"/>
  </cols>
  <sheetData>
    <row r="3" spans="2:40" ht="17.399999999999999" customHeight="1" x14ac:dyDescent="0.3">
      <c r="B3" s="39" t="s">
        <v>371</v>
      </c>
      <c r="C3" s="40"/>
      <c r="D3" s="40"/>
      <c r="E3" s="40"/>
      <c r="F3" s="40"/>
      <c r="G3" s="40"/>
      <c r="H3" s="40"/>
      <c r="I3" s="40"/>
      <c r="J3" s="40"/>
      <c r="L3" s="41" t="s">
        <v>114</v>
      </c>
      <c r="M3" s="41"/>
      <c r="N3" s="41"/>
      <c r="O3" s="16"/>
      <c r="P3" s="41" t="s">
        <v>119</v>
      </c>
      <c r="Q3" s="41"/>
      <c r="R3" s="41"/>
      <c r="S3" s="2"/>
      <c r="T3" s="17" t="s">
        <v>117</v>
      </c>
      <c r="U3" s="2"/>
      <c r="V3" s="37" t="s">
        <v>128</v>
      </c>
      <c r="W3" s="37"/>
    </row>
    <row r="4" spans="2:40" x14ac:dyDescent="0.3">
      <c r="B4" s="40"/>
      <c r="C4" s="40"/>
      <c r="D4" s="40"/>
      <c r="E4" s="40"/>
      <c r="F4" s="40"/>
      <c r="G4" s="40"/>
      <c r="H4" s="40"/>
      <c r="I4" s="40"/>
      <c r="J4" s="40"/>
    </row>
    <row r="5" spans="2:40" x14ac:dyDescent="0.3">
      <c r="L5" s="18" t="s">
        <v>118</v>
      </c>
      <c r="P5" s="42" t="s">
        <v>121</v>
      </c>
      <c r="Q5" s="43"/>
      <c r="R5" s="44"/>
      <c r="T5" s="18" t="s">
        <v>123</v>
      </c>
      <c r="V5" s="32" t="s">
        <v>127</v>
      </c>
      <c r="W5" s="32" t="s">
        <v>125</v>
      </c>
    </row>
    <row r="6" spans="2:40" ht="18" x14ac:dyDescent="0.3">
      <c r="B6" s="19" t="s">
        <v>0</v>
      </c>
      <c r="C6" s="19" t="s">
        <v>1</v>
      </c>
      <c r="D6" s="19" t="s">
        <v>2</v>
      </c>
      <c r="E6" s="20" t="s">
        <v>3</v>
      </c>
      <c r="F6" s="19" t="s">
        <v>4</v>
      </c>
      <c r="G6" s="19" t="s">
        <v>5</v>
      </c>
      <c r="H6" s="19" t="s">
        <v>6</v>
      </c>
      <c r="I6" s="19" t="s">
        <v>7</v>
      </c>
      <c r="J6" s="19" t="s">
        <v>8</v>
      </c>
      <c r="L6" s="21" t="s">
        <v>115</v>
      </c>
      <c r="M6" s="22"/>
      <c r="P6" s="21" t="s">
        <v>120</v>
      </c>
      <c r="Q6" s="19" t="s">
        <v>1</v>
      </c>
      <c r="R6" s="19" t="s">
        <v>8</v>
      </c>
      <c r="T6" s="21" t="s">
        <v>122</v>
      </c>
      <c r="V6" s="34" t="s">
        <v>126</v>
      </c>
      <c r="W6" s="33" t="s">
        <v>120</v>
      </c>
      <c r="AD6" s="23"/>
      <c r="AG6" s="24"/>
      <c r="AH6" s="24"/>
      <c r="AI6" s="24"/>
      <c r="AJ6" s="24"/>
      <c r="AK6" s="24"/>
      <c r="AL6" s="24"/>
      <c r="AM6" s="24"/>
      <c r="AN6" s="24"/>
    </row>
    <row r="7" spans="2:40" x14ac:dyDescent="0.3">
      <c r="B7" s="25" t="s">
        <v>9</v>
      </c>
      <c r="C7" s="25" t="s">
        <v>10</v>
      </c>
      <c r="D7" s="25" t="s">
        <v>11</v>
      </c>
      <c r="E7" s="26">
        <v>43101</v>
      </c>
      <c r="F7" s="25">
        <v>35725</v>
      </c>
      <c r="G7" s="25">
        <v>13172</v>
      </c>
      <c r="H7" s="25">
        <v>6142</v>
      </c>
      <c r="I7" s="25">
        <v>6342</v>
      </c>
      <c r="J7" s="25">
        <v>48697</v>
      </c>
      <c r="L7" s="25" t="str">
        <f t="shared" ref="L7:L15" si="0">VLOOKUP(B7,B6:D56,3,FALSE)</f>
        <v>HR</v>
      </c>
      <c r="P7" s="25">
        <f t="shared" ref="P7:P14" si="1">INDEX(R7:R56,MATCH(C7,Q7:Q56,0))</f>
        <v>48697</v>
      </c>
      <c r="Q7" s="25" t="s">
        <v>10</v>
      </c>
      <c r="R7" s="25">
        <v>48697</v>
      </c>
      <c r="T7" s="25" t="str">
        <f>IF(J7&gt;50000,"High Salary","Normal Salary")</f>
        <v>Normal Salary</v>
      </c>
      <c r="V7" s="27">
        <f>MAX(J7:J56)</f>
        <v>71839</v>
      </c>
      <c r="W7" s="28" t="str">
        <f>INDEX(C7:C56,MATCH(MAX(J7:J56),J7:J56,0))</f>
        <v>Employee_15</v>
      </c>
      <c r="X7" s="15" t="s">
        <v>124</v>
      </c>
    </row>
    <row r="8" spans="2:40" x14ac:dyDescent="0.3">
      <c r="B8" s="25" t="s">
        <v>12</v>
      </c>
      <c r="C8" s="25" t="s">
        <v>13</v>
      </c>
      <c r="D8" s="25" t="s">
        <v>11</v>
      </c>
      <c r="E8" s="26">
        <v>43191</v>
      </c>
      <c r="F8" s="25">
        <v>48030</v>
      </c>
      <c r="G8" s="25">
        <v>12750</v>
      </c>
      <c r="H8" s="25">
        <v>2271</v>
      </c>
      <c r="I8" s="25">
        <v>6318</v>
      </c>
      <c r="J8" s="25">
        <v>56733</v>
      </c>
      <c r="L8" s="25" t="str">
        <f t="shared" si="0"/>
        <v>HR</v>
      </c>
      <c r="P8" s="25">
        <f t="shared" si="1"/>
        <v>56733</v>
      </c>
      <c r="Q8" s="25" t="s">
        <v>13</v>
      </c>
      <c r="R8" s="25">
        <v>56733</v>
      </c>
      <c r="T8" s="25" t="str">
        <f t="shared" ref="T8:T56" si="2">IF(J8&gt;50000,"High Salary","Normal Salary")</f>
        <v>High Salary</v>
      </c>
      <c r="Y8" s="14"/>
    </row>
    <row r="9" spans="2:40" x14ac:dyDescent="0.3">
      <c r="B9" s="25" t="s">
        <v>14</v>
      </c>
      <c r="C9" s="25" t="s">
        <v>15</v>
      </c>
      <c r="D9" s="25" t="s">
        <v>16</v>
      </c>
      <c r="E9" s="26">
        <v>43281</v>
      </c>
      <c r="F9" s="25">
        <v>37730</v>
      </c>
      <c r="G9" s="25">
        <v>6389</v>
      </c>
      <c r="H9" s="25">
        <v>5387</v>
      </c>
      <c r="I9" s="25">
        <v>5648</v>
      </c>
      <c r="J9" s="25">
        <v>43858</v>
      </c>
      <c r="L9" s="25" t="str">
        <f t="shared" si="0"/>
        <v>IT</v>
      </c>
      <c r="P9" s="25">
        <f t="shared" si="1"/>
        <v>43858</v>
      </c>
      <c r="Q9" s="25" t="s">
        <v>15</v>
      </c>
      <c r="R9" s="25">
        <v>43858</v>
      </c>
      <c r="T9" s="25" t="str">
        <f t="shared" si="2"/>
        <v>Normal Salary</v>
      </c>
      <c r="V9" s="37" t="s">
        <v>129</v>
      </c>
      <c r="W9" s="37"/>
    </row>
    <row r="10" spans="2:40" x14ac:dyDescent="0.3">
      <c r="B10" s="25" t="s">
        <v>17</v>
      </c>
      <c r="C10" s="25" t="s">
        <v>18</v>
      </c>
      <c r="D10" s="25" t="s">
        <v>11</v>
      </c>
      <c r="E10" s="26">
        <v>43371</v>
      </c>
      <c r="F10" s="25">
        <v>35377</v>
      </c>
      <c r="G10" s="25">
        <v>13563</v>
      </c>
      <c r="H10" s="25">
        <v>8440</v>
      </c>
      <c r="I10" s="25">
        <v>4959</v>
      </c>
      <c r="J10" s="25">
        <v>52421</v>
      </c>
      <c r="L10" s="25" t="str">
        <f t="shared" si="0"/>
        <v>HR</v>
      </c>
      <c r="P10" s="25">
        <f t="shared" si="1"/>
        <v>52421</v>
      </c>
      <c r="Q10" s="25" t="s">
        <v>18</v>
      </c>
      <c r="R10" s="25">
        <v>52421</v>
      </c>
      <c r="T10" s="25" t="str">
        <f t="shared" si="2"/>
        <v>High Salary</v>
      </c>
      <c r="V10" s="35"/>
      <c r="W10" s="32" t="s">
        <v>131</v>
      </c>
    </row>
    <row r="11" spans="2:40" x14ac:dyDescent="0.3">
      <c r="B11" s="25" t="s">
        <v>19</v>
      </c>
      <c r="C11" s="25" t="s">
        <v>20</v>
      </c>
      <c r="D11" s="25" t="s">
        <v>21</v>
      </c>
      <c r="E11" s="26">
        <v>43461</v>
      </c>
      <c r="F11" s="25">
        <v>27763</v>
      </c>
      <c r="G11" s="25">
        <v>13582</v>
      </c>
      <c r="H11" s="25">
        <v>5481</v>
      </c>
      <c r="I11" s="25">
        <v>2994</v>
      </c>
      <c r="J11" s="25">
        <v>43832</v>
      </c>
      <c r="L11" s="25" t="str">
        <f t="shared" si="0"/>
        <v>Marketing</v>
      </c>
      <c r="P11" s="25">
        <f t="shared" si="1"/>
        <v>43832</v>
      </c>
      <c r="Q11" s="25" t="s">
        <v>20</v>
      </c>
      <c r="R11" s="25">
        <v>43832</v>
      </c>
      <c r="T11" s="25" t="str">
        <f t="shared" si="2"/>
        <v>Normal Salary</v>
      </c>
      <c r="V11" s="33" t="s">
        <v>115</v>
      </c>
      <c r="W11" s="33" t="s">
        <v>130</v>
      </c>
    </row>
    <row r="12" spans="2:40" x14ac:dyDescent="0.3">
      <c r="B12" s="25" t="s">
        <v>22</v>
      </c>
      <c r="C12" s="25" t="s">
        <v>23</v>
      </c>
      <c r="D12" s="25" t="s">
        <v>11</v>
      </c>
      <c r="E12" s="26">
        <v>43551</v>
      </c>
      <c r="F12" s="25">
        <v>43766</v>
      </c>
      <c r="G12" s="25">
        <v>12950</v>
      </c>
      <c r="H12" s="25">
        <v>5373</v>
      </c>
      <c r="I12" s="25">
        <v>1460</v>
      </c>
      <c r="J12" s="25">
        <v>60629</v>
      </c>
      <c r="L12" s="25" t="str">
        <f t="shared" si="0"/>
        <v>HR</v>
      </c>
      <c r="P12" s="25">
        <f t="shared" si="1"/>
        <v>60629</v>
      </c>
      <c r="Q12" s="25" t="s">
        <v>23</v>
      </c>
      <c r="R12" s="25">
        <v>60629</v>
      </c>
      <c r="T12" s="25" t="str">
        <f t="shared" si="2"/>
        <v>High Salary</v>
      </c>
      <c r="V12" s="28" t="s">
        <v>28</v>
      </c>
      <c r="W12" s="28">
        <f>COUNTIF(D7:D56,"Finance")</f>
        <v>11</v>
      </c>
    </row>
    <row r="13" spans="2:40" x14ac:dyDescent="0.3">
      <c r="B13" s="25" t="s">
        <v>24</v>
      </c>
      <c r="C13" s="25" t="s">
        <v>25</v>
      </c>
      <c r="D13" s="25" t="s">
        <v>16</v>
      </c>
      <c r="E13" s="26">
        <v>43641</v>
      </c>
      <c r="F13" s="25">
        <v>42241</v>
      </c>
      <c r="G13" s="25">
        <v>13447</v>
      </c>
      <c r="H13" s="25">
        <v>5505</v>
      </c>
      <c r="I13" s="25">
        <v>4737</v>
      </c>
      <c r="J13" s="25">
        <v>56456</v>
      </c>
      <c r="L13" s="25" t="str">
        <f t="shared" si="0"/>
        <v>IT</v>
      </c>
      <c r="P13" s="25">
        <f t="shared" si="1"/>
        <v>56456</v>
      </c>
      <c r="Q13" s="25" t="s">
        <v>25</v>
      </c>
      <c r="R13" s="25">
        <v>56456</v>
      </c>
      <c r="T13" s="25" t="str">
        <f t="shared" si="2"/>
        <v>High Salary</v>
      </c>
    </row>
    <row r="14" spans="2:40" x14ac:dyDescent="0.3">
      <c r="B14" s="25" t="s">
        <v>26</v>
      </c>
      <c r="C14" s="25" t="s">
        <v>27</v>
      </c>
      <c r="D14" s="25" t="s">
        <v>28</v>
      </c>
      <c r="E14" s="26">
        <v>43731</v>
      </c>
      <c r="F14" s="25">
        <v>20096</v>
      </c>
      <c r="G14" s="25">
        <v>8316</v>
      </c>
      <c r="H14" s="25">
        <v>7888</v>
      </c>
      <c r="I14" s="25">
        <v>2514</v>
      </c>
      <c r="J14" s="25">
        <v>33786</v>
      </c>
      <c r="L14" s="25" t="str">
        <f t="shared" si="0"/>
        <v>Finance</v>
      </c>
      <c r="P14" s="25">
        <f t="shared" si="1"/>
        <v>33786</v>
      </c>
      <c r="Q14" s="25" t="s">
        <v>27</v>
      </c>
      <c r="R14" s="25">
        <v>33786</v>
      </c>
      <c r="T14" s="25" t="str">
        <f t="shared" si="2"/>
        <v>Normal Salary</v>
      </c>
      <c r="V14" s="37" t="s">
        <v>132</v>
      </c>
      <c r="W14" s="37"/>
      <c r="Y14" s="15" t="s">
        <v>124</v>
      </c>
    </row>
    <row r="15" spans="2:40" x14ac:dyDescent="0.3">
      <c r="B15" s="25" t="s">
        <v>29</v>
      </c>
      <c r="C15" s="25" t="s">
        <v>30</v>
      </c>
      <c r="D15" s="25" t="s">
        <v>21</v>
      </c>
      <c r="E15" s="26">
        <v>43821</v>
      </c>
      <c r="F15" s="25">
        <v>43166</v>
      </c>
      <c r="G15" s="25">
        <v>9455</v>
      </c>
      <c r="H15" s="25">
        <v>3443</v>
      </c>
      <c r="I15" s="25">
        <v>5731</v>
      </c>
      <c r="J15" s="25">
        <v>50333</v>
      </c>
      <c r="L15" s="25" t="str">
        <f t="shared" si="0"/>
        <v>Marketing</v>
      </c>
      <c r="P15" s="25">
        <f t="shared" ref="P15:P56" si="3">INDEX(R15:R64,MATCH(C15,Q15:Q64,0))</f>
        <v>50333</v>
      </c>
      <c r="Q15" s="25" t="s">
        <v>30</v>
      </c>
      <c r="R15" s="25">
        <v>50333</v>
      </c>
      <c r="T15" s="25" t="str">
        <f t="shared" si="2"/>
        <v>High Salary</v>
      </c>
      <c r="V15" s="36"/>
      <c r="W15" s="32" t="s">
        <v>134</v>
      </c>
    </row>
    <row r="16" spans="2:40" x14ac:dyDescent="0.3">
      <c r="B16" s="25" t="s">
        <v>31</v>
      </c>
      <c r="C16" s="25" t="s">
        <v>32</v>
      </c>
      <c r="D16" s="25" t="s">
        <v>11</v>
      </c>
      <c r="E16" s="26">
        <v>43911</v>
      </c>
      <c r="F16" s="25">
        <v>25664</v>
      </c>
      <c r="G16" s="25">
        <v>5950</v>
      </c>
      <c r="H16" s="25">
        <v>5997</v>
      </c>
      <c r="I16" s="25">
        <v>2521</v>
      </c>
      <c r="J16" s="25">
        <v>35090</v>
      </c>
      <c r="L16" s="25" t="str">
        <f t="shared" ref="L16:L56" si="4">VLOOKUP(B16,B15:D65,3,FALSE)</f>
        <v>HR</v>
      </c>
      <c r="P16" s="25">
        <f t="shared" si="3"/>
        <v>35090</v>
      </c>
      <c r="Q16" s="25" t="s">
        <v>32</v>
      </c>
      <c r="R16" s="25">
        <v>35090</v>
      </c>
      <c r="T16" s="25" t="str">
        <f t="shared" si="2"/>
        <v>Normal Salary</v>
      </c>
      <c r="V16" s="33" t="s">
        <v>133</v>
      </c>
      <c r="W16" s="29">
        <f>SUM(J7:J56)</f>
        <v>2408142</v>
      </c>
    </row>
    <row r="17" spans="2:23" x14ac:dyDescent="0.3">
      <c r="B17" s="25" t="s">
        <v>33</v>
      </c>
      <c r="C17" s="25" t="s">
        <v>34</v>
      </c>
      <c r="D17" s="25" t="s">
        <v>28</v>
      </c>
      <c r="E17" s="26">
        <v>44001</v>
      </c>
      <c r="F17" s="25">
        <v>53710</v>
      </c>
      <c r="G17" s="25">
        <v>11087</v>
      </c>
      <c r="H17" s="25">
        <v>9553</v>
      </c>
      <c r="I17" s="25">
        <v>5231</v>
      </c>
      <c r="J17" s="25">
        <v>69119</v>
      </c>
      <c r="L17" s="25" t="str">
        <f t="shared" si="4"/>
        <v>Finance</v>
      </c>
      <c r="P17" s="25">
        <f t="shared" si="3"/>
        <v>69119</v>
      </c>
      <c r="Q17" s="25" t="s">
        <v>34</v>
      </c>
      <c r="R17" s="25">
        <v>69119</v>
      </c>
      <c r="T17" s="25" t="str">
        <f t="shared" si="2"/>
        <v>High Salary</v>
      </c>
    </row>
    <row r="18" spans="2:23" x14ac:dyDescent="0.3">
      <c r="B18" s="25" t="s">
        <v>35</v>
      </c>
      <c r="C18" s="25" t="s">
        <v>36</v>
      </c>
      <c r="D18" s="25" t="s">
        <v>28</v>
      </c>
      <c r="E18" s="26">
        <v>44091</v>
      </c>
      <c r="F18" s="25">
        <v>20111</v>
      </c>
      <c r="G18" s="25">
        <v>6153</v>
      </c>
      <c r="H18" s="25">
        <v>2979</v>
      </c>
      <c r="I18" s="25">
        <v>7925</v>
      </c>
      <c r="J18" s="25">
        <v>21318</v>
      </c>
      <c r="L18" s="25" t="str">
        <f t="shared" si="4"/>
        <v>Finance</v>
      </c>
      <c r="P18" s="25">
        <f t="shared" si="3"/>
        <v>21318</v>
      </c>
      <c r="Q18" s="25" t="s">
        <v>36</v>
      </c>
      <c r="R18" s="25">
        <v>21318</v>
      </c>
      <c r="T18" s="25" t="str">
        <f t="shared" si="2"/>
        <v>Normal Salary</v>
      </c>
      <c r="V18" s="37" t="s">
        <v>139</v>
      </c>
      <c r="W18" s="37"/>
    </row>
    <row r="19" spans="2:23" x14ac:dyDescent="0.3">
      <c r="B19" s="25" t="s">
        <v>37</v>
      </c>
      <c r="C19" s="25" t="s">
        <v>38</v>
      </c>
      <c r="D19" s="25" t="s">
        <v>28</v>
      </c>
      <c r="E19" s="26">
        <v>44181</v>
      </c>
      <c r="F19" s="25">
        <v>56249</v>
      </c>
      <c r="G19" s="25">
        <v>13747</v>
      </c>
      <c r="H19" s="25">
        <v>2836</v>
      </c>
      <c r="I19" s="25">
        <v>2452</v>
      </c>
      <c r="J19" s="25">
        <v>70380</v>
      </c>
      <c r="L19" s="25" t="str">
        <f t="shared" si="4"/>
        <v>Finance</v>
      </c>
      <c r="P19" s="25">
        <f t="shared" si="3"/>
        <v>70380</v>
      </c>
      <c r="Q19" s="25" t="s">
        <v>38</v>
      </c>
      <c r="R19" s="25">
        <v>70380</v>
      </c>
      <c r="T19" s="25" t="str">
        <f t="shared" si="2"/>
        <v>High Salary</v>
      </c>
    </row>
    <row r="20" spans="2:23" x14ac:dyDescent="0.3">
      <c r="B20" s="25" t="s">
        <v>39</v>
      </c>
      <c r="C20" s="25" t="s">
        <v>40</v>
      </c>
      <c r="D20" s="25" t="s">
        <v>11</v>
      </c>
      <c r="E20" s="26">
        <v>44271</v>
      </c>
      <c r="F20" s="25">
        <v>37747</v>
      </c>
      <c r="G20" s="25">
        <v>8258</v>
      </c>
      <c r="H20" s="25">
        <v>9070</v>
      </c>
      <c r="I20" s="25">
        <v>1763</v>
      </c>
      <c r="J20" s="25">
        <v>53312</v>
      </c>
      <c r="L20" s="25" t="str">
        <f t="shared" si="4"/>
        <v>HR</v>
      </c>
      <c r="P20" s="25">
        <f t="shared" si="3"/>
        <v>53312</v>
      </c>
      <c r="Q20" s="25" t="s">
        <v>40</v>
      </c>
      <c r="R20" s="25">
        <v>53312</v>
      </c>
      <c r="T20" s="25" t="str">
        <f t="shared" si="2"/>
        <v>High Salary</v>
      </c>
      <c r="V20" s="30" t="s">
        <v>135</v>
      </c>
      <c r="W20" s="15" t="s">
        <v>137</v>
      </c>
    </row>
    <row r="21" spans="2:23" x14ac:dyDescent="0.3">
      <c r="B21" s="25" t="s">
        <v>41</v>
      </c>
      <c r="C21" s="25" t="s">
        <v>42</v>
      </c>
      <c r="D21" s="25" t="s">
        <v>16</v>
      </c>
      <c r="E21" s="26">
        <v>44361</v>
      </c>
      <c r="F21" s="25">
        <v>55662</v>
      </c>
      <c r="G21" s="25">
        <v>14573</v>
      </c>
      <c r="H21" s="25">
        <v>5933</v>
      </c>
      <c r="I21" s="25">
        <v>4329</v>
      </c>
      <c r="J21" s="25">
        <v>71839</v>
      </c>
      <c r="L21" s="25" t="str">
        <f t="shared" si="4"/>
        <v>IT</v>
      </c>
      <c r="P21" s="25">
        <f t="shared" si="3"/>
        <v>71839</v>
      </c>
      <c r="Q21" s="25" t="s">
        <v>42</v>
      </c>
      <c r="R21" s="25">
        <v>71839</v>
      </c>
      <c r="T21" s="25" t="str">
        <f t="shared" si="2"/>
        <v>High Salary</v>
      </c>
      <c r="V21" s="15" t="s">
        <v>28</v>
      </c>
      <c r="W21" s="31">
        <v>519797</v>
      </c>
    </row>
    <row r="22" spans="2:23" x14ac:dyDescent="0.3">
      <c r="B22" s="25" t="s">
        <v>43</v>
      </c>
      <c r="C22" s="25" t="s">
        <v>44</v>
      </c>
      <c r="D22" s="25" t="s">
        <v>11</v>
      </c>
      <c r="E22" s="26">
        <v>44451</v>
      </c>
      <c r="F22" s="25">
        <v>23325</v>
      </c>
      <c r="G22" s="25">
        <v>13887</v>
      </c>
      <c r="H22" s="25">
        <v>3510</v>
      </c>
      <c r="I22" s="25">
        <v>6879</v>
      </c>
      <c r="J22" s="25">
        <v>33843</v>
      </c>
      <c r="L22" s="25" t="str">
        <f t="shared" si="4"/>
        <v>HR</v>
      </c>
      <c r="P22" s="25">
        <f t="shared" si="3"/>
        <v>33843</v>
      </c>
      <c r="Q22" s="25" t="s">
        <v>44</v>
      </c>
      <c r="R22" s="25">
        <v>33843</v>
      </c>
      <c r="T22" s="25" t="str">
        <f t="shared" si="2"/>
        <v>Normal Salary</v>
      </c>
      <c r="V22" s="15" t="s">
        <v>11</v>
      </c>
      <c r="W22" s="31">
        <v>609826</v>
      </c>
    </row>
    <row r="23" spans="2:23" x14ac:dyDescent="0.3">
      <c r="B23" s="25" t="s">
        <v>45</v>
      </c>
      <c r="C23" s="25" t="s">
        <v>46</v>
      </c>
      <c r="D23" s="25" t="s">
        <v>16</v>
      </c>
      <c r="E23" s="26">
        <v>44541</v>
      </c>
      <c r="F23" s="25">
        <v>51140</v>
      </c>
      <c r="G23" s="25">
        <v>11578</v>
      </c>
      <c r="H23" s="25">
        <v>4108</v>
      </c>
      <c r="I23" s="25">
        <v>2230</v>
      </c>
      <c r="J23" s="25">
        <v>64596</v>
      </c>
      <c r="L23" s="25" t="str">
        <f t="shared" si="4"/>
        <v>IT</v>
      </c>
      <c r="P23" s="25">
        <f t="shared" si="3"/>
        <v>64596</v>
      </c>
      <c r="Q23" s="25" t="s">
        <v>46</v>
      </c>
      <c r="R23" s="25">
        <v>64596</v>
      </c>
      <c r="T23" s="25" t="str">
        <f t="shared" si="2"/>
        <v>High Salary</v>
      </c>
      <c r="V23" s="15" t="s">
        <v>16</v>
      </c>
      <c r="W23" s="31">
        <v>467003</v>
      </c>
    </row>
    <row r="24" spans="2:23" x14ac:dyDescent="0.3">
      <c r="B24" s="25" t="s">
        <v>47</v>
      </c>
      <c r="C24" s="25" t="s">
        <v>48</v>
      </c>
      <c r="D24" s="25" t="s">
        <v>11</v>
      </c>
      <c r="E24" s="26">
        <v>44631</v>
      </c>
      <c r="F24" s="25">
        <v>34944</v>
      </c>
      <c r="G24" s="25">
        <v>12992</v>
      </c>
      <c r="H24" s="25">
        <v>2321</v>
      </c>
      <c r="I24" s="25">
        <v>4512</v>
      </c>
      <c r="J24" s="25">
        <v>45745</v>
      </c>
      <c r="L24" s="25" t="str">
        <f t="shared" si="4"/>
        <v>HR</v>
      </c>
      <c r="P24" s="25">
        <f t="shared" si="3"/>
        <v>45745</v>
      </c>
      <c r="Q24" s="25" t="s">
        <v>48</v>
      </c>
      <c r="R24" s="25">
        <v>45745</v>
      </c>
      <c r="T24" s="25" t="str">
        <f t="shared" si="2"/>
        <v>Normal Salary</v>
      </c>
      <c r="V24" s="15" t="s">
        <v>21</v>
      </c>
      <c r="W24" s="31">
        <v>377887</v>
      </c>
    </row>
    <row r="25" spans="2:23" x14ac:dyDescent="0.3">
      <c r="B25" s="25" t="s">
        <v>49</v>
      </c>
      <c r="C25" s="25" t="s">
        <v>50</v>
      </c>
      <c r="D25" s="25" t="s">
        <v>28</v>
      </c>
      <c r="E25" s="26">
        <v>44721</v>
      </c>
      <c r="F25" s="25">
        <v>37476</v>
      </c>
      <c r="G25" s="25">
        <v>6329</v>
      </c>
      <c r="H25" s="25">
        <v>5956</v>
      </c>
      <c r="I25" s="25">
        <v>7615</v>
      </c>
      <c r="J25" s="25">
        <v>42146</v>
      </c>
      <c r="L25" s="25" t="str">
        <f t="shared" si="4"/>
        <v>Finance</v>
      </c>
      <c r="P25" s="25">
        <f t="shared" si="3"/>
        <v>42146</v>
      </c>
      <c r="Q25" s="25" t="s">
        <v>50</v>
      </c>
      <c r="R25" s="25">
        <v>42146</v>
      </c>
      <c r="T25" s="25" t="str">
        <f t="shared" si="2"/>
        <v>Normal Salary</v>
      </c>
      <c r="V25" s="15" t="s">
        <v>61</v>
      </c>
      <c r="W25" s="31">
        <v>433629</v>
      </c>
    </row>
    <row r="26" spans="2:23" x14ac:dyDescent="0.3">
      <c r="B26" s="25" t="s">
        <v>51</v>
      </c>
      <c r="C26" s="25" t="s">
        <v>52</v>
      </c>
      <c r="D26" s="25" t="s">
        <v>16</v>
      </c>
      <c r="E26" s="26">
        <v>44811</v>
      </c>
      <c r="F26" s="25">
        <v>27985</v>
      </c>
      <c r="G26" s="25">
        <v>9626</v>
      </c>
      <c r="H26" s="25">
        <v>6862</v>
      </c>
      <c r="I26" s="25">
        <v>5671</v>
      </c>
      <c r="J26" s="25">
        <v>38802</v>
      </c>
      <c r="L26" s="25" t="str">
        <f t="shared" si="4"/>
        <v>IT</v>
      </c>
      <c r="P26" s="25">
        <f t="shared" si="3"/>
        <v>38802</v>
      </c>
      <c r="Q26" s="25" t="s">
        <v>52</v>
      </c>
      <c r="R26" s="25">
        <v>38802</v>
      </c>
      <c r="T26" s="25" t="str">
        <f t="shared" si="2"/>
        <v>Normal Salary</v>
      </c>
      <c r="V26" s="15" t="s">
        <v>136</v>
      </c>
      <c r="W26" s="31">
        <v>2408142</v>
      </c>
    </row>
    <row r="27" spans="2:23" x14ac:dyDescent="0.3">
      <c r="B27" s="25" t="s">
        <v>53</v>
      </c>
      <c r="C27" s="25" t="s">
        <v>54</v>
      </c>
      <c r="D27" s="25" t="s">
        <v>21</v>
      </c>
      <c r="E27" s="26">
        <v>44901</v>
      </c>
      <c r="F27" s="25">
        <v>46626</v>
      </c>
      <c r="G27" s="25">
        <v>14729</v>
      </c>
      <c r="H27" s="25">
        <v>3996</v>
      </c>
      <c r="I27" s="25">
        <v>1481</v>
      </c>
      <c r="J27" s="25">
        <v>63870</v>
      </c>
      <c r="L27" s="25" t="str">
        <f t="shared" si="4"/>
        <v>Marketing</v>
      </c>
      <c r="P27" s="25">
        <f t="shared" si="3"/>
        <v>63870</v>
      </c>
      <c r="Q27" s="25" t="s">
        <v>54</v>
      </c>
      <c r="R27" s="25">
        <v>63870</v>
      </c>
      <c r="T27" s="25" t="str">
        <f t="shared" si="2"/>
        <v>High Salary</v>
      </c>
    </row>
    <row r="28" spans="2:23" x14ac:dyDescent="0.3">
      <c r="B28" s="25" t="s">
        <v>55</v>
      </c>
      <c r="C28" s="25" t="s">
        <v>56</v>
      </c>
      <c r="D28" s="25" t="s">
        <v>11</v>
      </c>
      <c r="E28" s="26">
        <v>44991</v>
      </c>
      <c r="F28" s="25">
        <v>26484</v>
      </c>
      <c r="G28" s="25">
        <v>10036</v>
      </c>
      <c r="H28" s="25">
        <v>2323</v>
      </c>
      <c r="I28" s="25">
        <v>3563</v>
      </c>
      <c r="J28" s="25">
        <v>35280</v>
      </c>
      <c r="L28" s="25" t="str">
        <f t="shared" si="4"/>
        <v>HR</v>
      </c>
      <c r="P28" s="25">
        <f t="shared" si="3"/>
        <v>35280</v>
      </c>
      <c r="Q28" s="25" t="s">
        <v>56</v>
      </c>
      <c r="R28" s="25">
        <v>35280</v>
      </c>
      <c r="T28" s="25" t="str">
        <f t="shared" si="2"/>
        <v>Normal Salary</v>
      </c>
      <c r="V28" s="38" t="s">
        <v>402</v>
      </c>
      <c r="W28" s="38"/>
    </row>
    <row r="29" spans="2:23" x14ac:dyDescent="0.3">
      <c r="B29" s="25" t="s">
        <v>57</v>
      </c>
      <c r="C29" s="25" t="s">
        <v>58</v>
      </c>
      <c r="D29" s="25" t="s">
        <v>11</v>
      </c>
      <c r="E29" s="26">
        <v>45081</v>
      </c>
      <c r="F29" s="25">
        <v>37730</v>
      </c>
      <c r="G29" s="25">
        <v>12913</v>
      </c>
      <c r="H29" s="25">
        <v>9980</v>
      </c>
      <c r="I29" s="25">
        <v>1017</v>
      </c>
      <c r="J29" s="25">
        <v>59606</v>
      </c>
      <c r="L29" s="25" t="str">
        <f t="shared" si="4"/>
        <v>HR</v>
      </c>
      <c r="P29" s="25">
        <f t="shared" si="3"/>
        <v>59606</v>
      </c>
      <c r="Q29" s="25" t="s">
        <v>58</v>
      </c>
      <c r="R29" s="25">
        <v>59606</v>
      </c>
      <c r="T29" s="25" t="str">
        <f t="shared" si="2"/>
        <v>High Salary</v>
      </c>
    </row>
    <row r="30" spans="2:23" x14ac:dyDescent="0.3">
      <c r="B30" s="25" t="s">
        <v>59</v>
      </c>
      <c r="C30" s="25" t="s">
        <v>60</v>
      </c>
      <c r="D30" s="25" t="s">
        <v>61</v>
      </c>
      <c r="E30" s="26">
        <v>45171</v>
      </c>
      <c r="F30" s="25">
        <v>50255</v>
      </c>
      <c r="G30" s="25">
        <v>12224</v>
      </c>
      <c r="H30" s="25">
        <v>2819</v>
      </c>
      <c r="I30" s="25">
        <v>6208</v>
      </c>
      <c r="J30" s="25">
        <v>59090</v>
      </c>
      <c r="L30" s="25" t="str">
        <f t="shared" si="4"/>
        <v>Sales</v>
      </c>
      <c r="P30" s="25">
        <f t="shared" si="3"/>
        <v>59090</v>
      </c>
      <c r="Q30" s="25" t="s">
        <v>60</v>
      </c>
      <c r="R30" s="25">
        <v>59090</v>
      </c>
      <c r="T30" s="25" t="str">
        <f t="shared" si="2"/>
        <v>High Salary</v>
      </c>
      <c r="V30" s="30" t="s">
        <v>135</v>
      </c>
      <c r="W30" s="15" t="s">
        <v>138</v>
      </c>
    </row>
    <row r="31" spans="2:23" x14ac:dyDescent="0.3">
      <c r="B31" s="25" t="s">
        <v>62</v>
      </c>
      <c r="C31" s="25" t="s">
        <v>63</v>
      </c>
      <c r="D31" s="25" t="s">
        <v>11</v>
      </c>
      <c r="E31" s="26">
        <v>45261</v>
      </c>
      <c r="F31" s="25">
        <v>26648</v>
      </c>
      <c r="G31" s="25">
        <v>13534</v>
      </c>
      <c r="H31" s="25">
        <v>5719</v>
      </c>
      <c r="I31" s="25">
        <v>5846</v>
      </c>
      <c r="J31" s="25">
        <v>40055</v>
      </c>
      <c r="L31" s="25" t="str">
        <f t="shared" si="4"/>
        <v>HR</v>
      </c>
      <c r="P31" s="25">
        <f t="shared" si="3"/>
        <v>40055</v>
      </c>
      <c r="Q31" s="25" t="s">
        <v>63</v>
      </c>
      <c r="R31" s="25">
        <v>40055</v>
      </c>
      <c r="T31" s="25" t="str">
        <f t="shared" si="2"/>
        <v>Normal Salary</v>
      </c>
      <c r="V31" s="15" t="s">
        <v>28</v>
      </c>
      <c r="W31" s="31">
        <v>47254.272727272728</v>
      </c>
    </row>
    <row r="32" spans="2:23" x14ac:dyDescent="0.3">
      <c r="B32" s="25" t="s">
        <v>64</v>
      </c>
      <c r="C32" s="25" t="s">
        <v>65</v>
      </c>
      <c r="D32" s="25" t="s">
        <v>21</v>
      </c>
      <c r="E32" s="26">
        <v>45351</v>
      </c>
      <c r="F32" s="25">
        <v>42461</v>
      </c>
      <c r="G32" s="25">
        <v>7709</v>
      </c>
      <c r="H32" s="25">
        <v>2998</v>
      </c>
      <c r="I32" s="25">
        <v>4287</v>
      </c>
      <c r="J32" s="25">
        <v>48881</v>
      </c>
      <c r="L32" s="25" t="str">
        <f t="shared" si="4"/>
        <v>Marketing</v>
      </c>
      <c r="P32" s="25">
        <f t="shared" si="3"/>
        <v>48881</v>
      </c>
      <c r="Q32" s="25" t="s">
        <v>65</v>
      </c>
      <c r="R32" s="25">
        <v>48881</v>
      </c>
      <c r="T32" s="25" t="str">
        <f t="shared" si="2"/>
        <v>Normal Salary</v>
      </c>
      <c r="V32" s="15" t="s">
        <v>11</v>
      </c>
      <c r="W32" s="31">
        <v>46909.692307692305</v>
      </c>
    </row>
    <row r="33" spans="2:23" x14ac:dyDescent="0.3">
      <c r="B33" s="25" t="s">
        <v>66</v>
      </c>
      <c r="C33" s="25" t="s">
        <v>67</v>
      </c>
      <c r="D33" s="25" t="s">
        <v>16</v>
      </c>
      <c r="E33" s="26">
        <v>45441</v>
      </c>
      <c r="F33" s="25">
        <v>43728</v>
      </c>
      <c r="G33" s="25">
        <v>7521</v>
      </c>
      <c r="H33" s="25">
        <v>6184</v>
      </c>
      <c r="I33" s="25">
        <v>5293</v>
      </c>
      <c r="J33" s="25">
        <v>52140</v>
      </c>
      <c r="L33" s="25" t="str">
        <f t="shared" si="4"/>
        <v>IT</v>
      </c>
      <c r="P33" s="25">
        <f t="shared" si="3"/>
        <v>52140</v>
      </c>
      <c r="Q33" s="25" t="s">
        <v>67</v>
      </c>
      <c r="R33" s="25">
        <v>52140</v>
      </c>
      <c r="T33" s="25" t="str">
        <f t="shared" si="2"/>
        <v>High Salary</v>
      </c>
      <c r="V33" s="15" t="s">
        <v>16</v>
      </c>
      <c r="W33" s="31">
        <v>51889.222222222219</v>
      </c>
    </row>
    <row r="34" spans="2:23" x14ac:dyDescent="0.3">
      <c r="B34" s="25" t="s">
        <v>68</v>
      </c>
      <c r="C34" s="25" t="s">
        <v>69</v>
      </c>
      <c r="D34" s="25" t="s">
        <v>28</v>
      </c>
      <c r="E34" s="26">
        <v>45531</v>
      </c>
      <c r="F34" s="25">
        <v>37543</v>
      </c>
      <c r="G34" s="25">
        <v>14705</v>
      </c>
      <c r="H34" s="25">
        <v>8086</v>
      </c>
      <c r="I34" s="25">
        <v>3657</v>
      </c>
      <c r="J34" s="25">
        <v>56677</v>
      </c>
      <c r="L34" s="25" t="str">
        <f t="shared" si="4"/>
        <v>Finance</v>
      </c>
      <c r="P34" s="25">
        <f t="shared" si="3"/>
        <v>56677</v>
      </c>
      <c r="Q34" s="25" t="s">
        <v>69</v>
      </c>
      <c r="R34" s="25">
        <v>56677</v>
      </c>
      <c r="T34" s="25" t="str">
        <f t="shared" si="2"/>
        <v>High Salary</v>
      </c>
      <c r="V34" s="15" t="s">
        <v>21</v>
      </c>
      <c r="W34" s="31">
        <v>47235.875</v>
      </c>
    </row>
    <row r="35" spans="2:23" x14ac:dyDescent="0.3">
      <c r="B35" s="25" t="s">
        <v>70</v>
      </c>
      <c r="C35" s="25" t="s">
        <v>71</v>
      </c>
      <c r="D35" s="25" t="s">
        <v>21</v>
      </c>
      <c r="E35" s="26">
        <v>45621</v>
      </c>
      <c r="F35" s="25">
        <v>24195</v>
      </c>
      <c r="G35" s="25">
        <v>10474</v>
      </c>
      <c r="H35" s="25">
        <v>9309</v>
      </c>
      <c r="I35" s="25">
        <v>3610</v>
      </c>
      <c r="J35" s="25">
        <v>40368</v>
      </c>
      <c r="L35" s="25" t="str">
        <f t="shared" si="4"/>
        <v>Marketing</v>
      </c>
      <c r="P35" s="25">
        <f t="shared" si="3"/>
        <v>40368</v>
      </c>
      <c r="Q35" s="25" t="s">
        <v>71</v>
      </c>
      <c r="R35" s="25">
        <v>40368</v>
      </c>
      <c r="T35" s="25" t="str">
        <f t="shared" si="2"/>
        <v>Normal Salary</v>
      </c>
      <c r="V35" s="15" t="s">
        <v>61</v>
      </c>
      <c r="W35" s="31">
        <v>48181</v>
      </c>
    </row>
    <row r="36" spans="2:23" x14ac:dyDescent="0.3">
      <c r="B36" s="25" t="s">
        <v>72</v>
      </c>
      <c r="C36" s="25" t="s">
        <v>73</v>
      </c>
      <c r="D36" s="25" t="s">
        <v>61</v>
      </c>
      <c r="E36" s="26">
        <v>45711</v>
      </c>
      <c r="F36" s="25">
        <v>22428</v>
      </c>
      <c r="G36" s="25">
        <v>11027</v>
      </c>
      <c r="H36" s="25">
        <v>6508</v>
      </c>
      <c r="I36" s="25">
        <v>4429</v>
      </c>
      <c r="J36" s="25">
        <v>35534</v>
      </c>
      <c r="L36" s="25" t="str">
        <f t="shared" si="4"/>
        <v>Sales</v>
      </c>
      <c r="P36" s="25">
        <f t="shared" si="3"/>
        <v>35534</v>
      </c>
      <c r="Q36" s="25" t="s">
        <v>73</v>
      </c>
      <c r="R36" s="25">
        <v>35534</v>
      </c>
      <c r="T36" s="25" t="str">
        <f t="shared" si="2"/>
        <v>Normal Salary</v>
      </c>
      <c r="V36" s="15" t="s">
        <v>136</v>
      </c>
      <c r="W36" s="31">
        <v>48162.84</v>
      </c>
    </row>
    <row r="37" spans="2:23" x14ac:dyDescent="0.3">
      <c r="B37" s="25" t="s">
        <v>74</v>
      </c>
      <c r="C37" s="25" t="s">
        <v>75</v>
      </c>
      <c r="D37" s="25" t="s">
        <v>28</v>
      </c>
      <c r="E37" s="26">
        <v>45801</v>
      </c>
      <c r="F37" s="25">
        <v>28028</v>
      </c>
      <c r="G37" s="25">
        <v>14438</v>
      </c>
      <c r="H37" s="25">
        <v>7484</v>
      </c>
      <c r="I37" s="25">
        <v>6250</v>
      </c>
      <c r="J37" s="25">
        <v>43700</v>
      </c>
      <c r="L37" s="25" t="str">
        <f t="shared" si="4"/>
        <v>Finance</v>
      </c>
      <c r="P37" s="25">
        <f t="shared" si="3"/>
        <v>43700</v>
      </c>
      <c r="Q37" s="25" t="s">
        <v>75</v>
      </c>
      <c r="R37" s="25">
        <v>43700</v>
      </c>
      <c r="T37" s="25" t="str">
        <f t="shared" si="2"/>
        <v>Normal Salary</v>
      </c>
    </row>
    <row r="38" spans="2:23" x14ac:dyDescent="0.3">
      <c r="B38" s="25" t="s">
        <v>76</v>
      </c>
      <c r="C38" s="25" t="s">
        <v>77</v>
      </c>
      <c r="D38" s="25" t="s">
        <v>21</v>
      </c>
      <c r="E38" s="26">
        <v>45891</v>
      </c>
      <c r="F38" s="25">
        <v>23252</v>
      </c>
      <c r="G38" s="25">
        <v>5262</v>
      </c>
      <c r="H38" s="25">
        <v>3343</v>
      </c>
      <c r="I38" s="25">
        <v>7802</v>
      </c>
      <c r="J38" s="25">
        <v>24055</v>
      </c>
      <c r="L38" s="25" t="str">
        <f t="shared" si="4"/>
        <v>Marketing</v>
      </c>
      <c r="P38" s="25">
        <f t="shared" si="3"/>
        <v>24055</v>
      </c>
      <c r="Q38" s="25" t="s">
        <v>77</v>
      </c>
      <c r="R38" s="25">
        <v>24055</v>
      </c>
      <c r="T38" s="25" t="str">
        <f t="shared" si="2"/>
        <v>Normal Salary</v>
      </c>
    </row>
    <row r="39" spans="2:23" x14ac:dyDescent="0.3">
      <c r="B39" s="25" t="s">
        <v>78</v>
      </c>
      <c r="C39" s="25" t="s">
        <v>79</v>
      </c>
      <c r="D39" s="25" t="s">
        <v>28</v>
      </c>
      <c r="E39" s="26">
        <v>45981</v>
      </c>
      <c r="F39" s="25">
        <v>37766</v>
      </c>
      <c r="G39" s="25">
        <v>6111</v>
      </c>
      <c r="H39" s="25">
        <v>6436</v>
      </c>
      <c r="I39" s="25">
        <v>6934</v>
      </c>
      <c r="J39" s="25">
        <v>43379</v>
      </c>
      <c r="L39" s="25" t="str">
        <f t="shared" si="4"/>
        <v>Finance</v>
      </c>
      <c r="P39" s="25">
        <f t="shared" si="3"/>
        <v>43379</v>
      </c>
      <c r="Q39" s="25" t="s">
        <v>79</v>
      </c>
      <c r="R39" s="25">
        <v>43379</v>
      </c>
      <c r="T39" s="25" t="str">
        <f t="shared" si="2"/>
        <v>Normal Salary</v>
      </c>
    </row>
    <row r="40" spans="2:23" x14ac:dyDescent="0.3">
      <c r="B40" s="25" t="s">
        <v>80</v>
      </c>
      <c r="C40" s="25" t="s">
        <v>81</v>
      </c>
      <c r="D40" s="25" t="s">
        <v>61</v>
      </c>
      <c r="E40" s="26">
        <v>46071</v>
      </c>
      <c r="F40" s="25">
        <v>48513</v>
      </c>
      <c r="G40" s="25">
        <v>14230</v>
      </c>
      <c r="H40" s="25">
        <v>6004</v>
      </c>
      <c r="I40" s="25">
        <v>1557</v>
      </c>
      <c r="J40" s="25">
        <v>67190</v>
      </c>
      <c r="L40" s="25" t="str">
        <f t="shared" si="4"/>
        <v>Sales</v>
      </c>
      <c r="P40" s="25">
        <f t="shared" si="3"/>
        <v>67190</v>
      </c>
      <c r="Q40" s="25" t="s">
        <v>81</v>
      </c>
      <c r="R40" s="25">
        <v>67190</v>
      </c>
      <c r="T40" s="25" t="str">
        <f t="shared" si="2"/>
        <v>High Salary</v>
      </c>
    </row>
    <row r="41" spans="2:23" x14ac:dyDescent="0.3">
      <c r="B41" s="25" t="s">
        <v>82</v>
      </c>
      <c r="C41" s="25" t="s">
        <v>83</v>
      </c>
      <c r="D41" s="25" t="s">
        <v>16</v>
      </c>
      <c r="E41" s="26">
        <v>46161</v>
      </c>
      <c r="F41" s="25">
        <v>31894</v>
      </c>
      <c r="G41" s="25">
        <v>6222</v>
      </c>
      <c r="H41" s="25">
        <v>9799</v>
      </c>
      <c r="I41" s="25">
        <v>1931</v>
      </c>
      <c r="J41" s="25">
        <v>45984</v>
      </c>
      <c r="L41" s="25" t="str">
        <f t="shared" si="4"/>
        <v>IT</v>
      </c>
      <c r="P41" s="25">
        <f t="shared" si="3"/>
        <v>45984</v>
      </c>
      <c r="Q41" s="25" t="s">
        <v>83</v>
      </c>
      <c r="R41" s="25">
        <v>45984</v>
      </c>
      <c r="T41" s="25" t="str">
        <f t="shared" si="2"/>
        <v>Normal Salary</v>
      </c>
    </row>
    <row r="42" spans="2:23" x14ac:dyDescent="0.3">
      <c r="B42" s="25" t="s">
        <v>84</v>
      </c>
      <c r="C42" s="25" t="s">
        <v>85</v>
      </c>
      <c r="D42" s="25" t="s">
        <v>21</v>
      </c>
      <c r="E42" s="26">
        <v>46251</v>
      </c>
      <c r="F42" s="25">
        <v>49534</v>
      </c>
      <c r="G42" s="25">
        <v>11284</v>
      </c>
      <c r="H42" s="25">
        <v>8640</v>
      </c>
      <c r="I42" s="25">
        <v>6650</v>
      </c>
      <c r="J42" s="25">
        <v>62808</v>
      </c>
      <c r="L42" s="25" t="str">
        <f t="shared" si="4"/>
        <v>Marketing</v>
      </c>
      <c r="P42" s="25">
        <f t="shared" si="3"/>
        <v>62808</v>
      </c>
      <c r="Q42" s="25" t="s">
        <v>85</v>
      </c>
      <c r="R42" s="25">
        <v>62808</v>
      </c>
      <c r="T42" s="25" t="str">
        <f t="shared" si="2"/>
        <v>High Salary</v>
      </c>
    </row>
    <row r="43" spans="2:23" x14ac:dyDescent="0.3">
      <c r="B43" s="25" t="s">
        <v>86</v>
      </c>
      <c r="C43" s="25" t="s">
        <v>87</v>
      </c>
      <c r="D43" s="25" t="s">
        <v>28</v>
      </c>
      <c r="E43" s="26">
        <v>46341</v>
      </c>
      <c r="F43" s="25">
        <v>50107</v>
      </c>
      <c r="G43" s="25">
        <v>5438</v>
      </c>
      <c r="H43" s="25">
        <v>4528</v>
      </c>
      <c r="I43" s="25">
        <v>3523</v>
      </c>
      <c r="J43" s="25">
        <v>56550</v>
      </c>
      <c r="L43" s="25" t="str">
        <f t="shared" si="4"/>
        <v>Finance</v>
      </c>
      <c r="P43" s="25">
        <f t="shared" si="3"/>
        <v>56550</v>
      </c>
      <c r="Q43" s="25" t="s">
        <v>87</v>
      </c>
      <c r="R43" s="25">
        <v>56550</v>
      </c>
      <c r="T43" s="25" t="str">
        <f t="shared" si="2"/>
        <v>High Salary</v>
      </c>
    </row>
    <row r="44" spans="2:23" x14ac:dyDescent="0.3">
      <c r="B44" s="25" t="s">
        <v>88</v>
      </c>
      <c r="C44" s="25" t="s">
        <v>89</v>
      </c>
      <c r="D44" s="25" t="s">
        <v>28</v>
      </c>
      <c r="E44" s="26">
        <v>46431</v>
      </c>
      <c r="F44" s="25">
        <v>22338</v>
      </c>
      <c r="G44" s="25">
        <v>7587</v>
      </c>
      <c r="H44" s="25">
        <v>3401</v>
      </c>
      <c r="I44" s="25">
        <v>1686</v>
      </c>
      <c r="J44" s="25">
        <v>31640</v>
      </c>
      <c r="L44" s="25" t="str">
        <f t="shared" si="4"/>
        <v>Finance</v>
      </c>
      <c r="P44" s="25">
        <f t="shared" si="3"/>
        <v>31640</v>
      </c>
      <c r="Q44" s="25" t="s">
        <v>89</v>
      </c>
      <c r="R44" s="25">
        <v>31640</v>
      </c>
      <c r="T44" s="25" t="str">
        <f t="shared" si="2"/>
        <v>Normal Salary</v>
      </c>
    </row>
    <row r="45" spans="2:23" x14ac:dyDescent="0.3">
      <c r="B45" s="25" t="s">
        <v>90</v>
      </c>
      <c r="C45" s="25" t="s">
        <v>91</v>
      </c>
      <c r="D45" s="25" t="s">
        <v>61</v>
      </c>
      <c r="E45" s="26">
        <v>46521</v>
      </c>
      <c r="F45" s="25">
        <v>36972</v>
      </c>
      <c r="G45" s="25">
        <v>12569</v>
      </c>
      <c r="H45" s="25">
        <v>2424</v>
      </c>
      <c r="I45" s="25">
        <v>5022</v>
      </c>
      <c r="J45" s="25">
        <v>46943</v>
      </c>
      <c r="L45" s="25" t="str">
        <f t="shared" si="4"/>
        <v>Sales</v>
      </c>
      <c r="P45" s="25">
        <f t="shared" si="3"/>
        <v>46943</v>
      </c>
      <c r="Q45" s="25" t="s">
        <v>91</v>
      </c>
      <c r="R45" s="25">
        <v>46943</v>
      </c>
      <c r="T45" s="25" t="str">
        <f t="shared" si="2"/>
        <v>Normal Salary</v>
      </c>
    </row>
    <row r="46" spans="2:23" x14ac:dyDescent="0.3">
      <c r="B46" s="25" t="s">
        <v>92</v>
      </c>
      <c r="C46" s="25" t="s">
        <v>93</v>
      </c>
      <c r="D46" s="25" t="s">
        <v>16</v>
      </c>
      <c r="E46" s="26">
        <v>46611</v>
      </c>
      <c r="F46" s="25">
        <v>40355</v>
      </c>
      <c r="G46" s="25">
        <v>6902</v>
      </c>
      <c r="H46" s="25">
        <v>9640</v>
      </c>
      <c r="I46" s="25">
        <v>3551</v>
      </c>
      <c r="J46" s="25">
        <v>53346</v>
      </c>
      <c r="L46" s="25" t="str">
        <f t="shared" si="4"/>
        <v>IT</v>
      </c>
      <c r="P46" s="25">
        <f t="shared" si="3"/>
        <v>53346</v>
      </c>
      <c r="Q46" s="25" t="s">
        <v>93</v>
      </c>
      <c r="R46" s="25">
        <v>53346</v>
      </c>
      <c r="T46" s="25" t="str">
        <f t="shared" si="2"/>
        <v>High Salary</v>
      </c>
    </row>
    <row r="47" spans="2:23" x14ac:dyDescent="0.3">
      <c r="B47" s="25" t="s">
        <v>94</v>
      </c>
      <c r="C47" s="25" t="s">
        <v>95</v>
      </c>
      <c r="D47" s="25" t="s">
        <v>61</v>
      </c>
      <c r="E47" s="26">
        <v>46701</v>
      </c>
      <c r="F47" s="25">
        <v>32394</v>
      </c>
      <c r="G47" s="25">
        <v>8914</v>
      </c>
      <c r="H47" s="25">
        <v>9028</v>
      </c>
      <c r="I47" s="25">
        <v>5169</v>
      </c>
      <c r="J47" s="25">
        <v>45167</v>
      </c>
      <c r="L47" s="25" t="str">
        <f t="shared" si="4"/>
        <v>Sales</v>
      </c>
      <c r="P47" s="25">
        <f t="shared" si="3"/>
        <v>45167</v>
      </c>
      <c r="Q47" s="25" t="s">
        <v>95</v>
      </c>
      <c r="R47" s="25">
        <v>45167</v>
      </c>
      <c r="T47" s="25" t="str">
        <f t="shared" si="2"/>
        <v>Normal Salary</v>
      </c>
    </row>
    <row r="48" spans="2:23" x14ac:dyDescent="0.3">
      <c r="B48" s="25" t="s">
        <v>96</v>
      </c>
      <c r="C48" s="25" t="s">
        <v>97</v>
      </c>
      <c r="D48" s="25" t="s">
        <v>61</v>
      </c>
      <c r="E48" s="26">
        <v>46791</v>
      </c>
      <c r="F48" s="25">
        <v>22624</v>
      </c>
      <c r="G48" s="25">
        <v>14059</v>
      </c>
      <c r="H48" s="25">
        <v>4810</v>
      </c>
      <c r="I48" s="25">
        <v>3622</v>
      </c>
      <c r="J48" s="25">
        <v>37871</v>
      </c>
      <c r="L48" s="25" t="str">
        <f t="shared" si="4"/>
        <v>Sales</v>
      </c>
      <c r="P48" s="25">
        <f t="shared" si="3"/>
        <v>37871</v>
      </c>
      <c r="Q48" s="25" t="s">
        <v>97</v>
      </c>
      <c r="R48" s="25">
        <v>37871</v>
      </c>
      <c r="T48" s="25" t="str">
        <f t="shared" si="2"/>
        <v>Normal Salary</v>
      </c>
    </row>
    <row r="49" spans="2:20" x14ac:dyDescent="0.3">
      <c r="B49" s="25" t="s">
        <v>98</v>
      </c>
      <c r="C49" s="25" t="s">
        <v>99</v>
      </c>
      <c r="D49" s="25" t="s">
        <v>61</v>
      </c>
      <c r="E49" s="26">
        <v>46881</v>
      </c>
      <c r="F49" s="25">
        <v>21442</v>
      </c>
      <c r="G49" s="25">
        <v>8700</v>
      </c>
      <c r="H49" s="25">
        <v>9103</v>
      </c>
      <c r="I49" s="25">
        <v>2731</v>
      </c>
      <c r="J49" s="25">
        <v>36514</v>
      </c>
      <c r="L49" s="25" t="str">
        <f t="shared" si="4"/>
        <v>Sales</v>
      </c>
      <c r="P49" s="25">
        <f t="shared" si="3"/>
        <v>36514</v>
      </c>
      <c r="Q49" s="25" t="s">
        <v>99</v>
      </c>
      <c r="R49" s="25">
        <v>36514</v>
      </c>
      <c r="T49" s="25" t="str">
        <f t="shared" si="2"/>
        <v>Normal Salary</v>
      </c>
    </row>
    <row r="50" spans="2:20" x14ac:dyDescent="0.3">
      <c r="B50" s="25" t="s">
        <v>100</v>
      </c>
      <c r="C50" s="25" t="s">
        <v>101</v>
      </c>
      <c r="D50" s="25" t="s">
        <v>21</v>
      </c>
      <c r="E50" s="26">
        <v>46971</v>
      </c>
      <c r="F50" s="25">
        <v>29018</v>
      </c>
      <c r="G50" s="25">
        <v>9195</v>
      </c>
      <c r="H50" s="25">
        <v>8202</v>
      </c>
      <c r="I50" s="25">
        <v>2675</v>
      </c>
      <c r="J50" s="25">
        <v>43740</v>
      </c>
      <c r="L50" s="25" t="str">
        <f t="shared" si="4"/>
        <v>Marketing</v>
      </c>
      <c r="P50" s="25">
        <f t="shared" si="3"/>
        <v>43740</v>
      </c>
      <c r="Q50" s="25" t="s">
        <v>101</v>
      </c>
      <c r="R50" s="25">
        <v>43740</v>
      </c>
      <c r="T50" s="25" t="str">
        <f t="shared" si="2"/>
        <v>Normal Salary</v>
      </c>
    </row>
    <row r="51" spans="2:20" x14ac:dyDescent="0.3">
      <c r="B51" s="25" t="s">
        <v>102</v>
      </c>
      <c r="C51" s="25" t="s">
        <v>103</v>
      </c>
      <c r="D51" s="25" t="s">
        <v>16</v>
      </c>
      <c r="E51" s="26">
        <v>47061</v>
      </c>
      <c r="F51" s="25">
        <v>29610</v>
      </c>
      <c r="G51" s="25">
        <v>7241</v>
      </c>
      <c r="H51" s="25">
        <v>9661</v>
      </c>
      <c r="I51" s="25">
        <v>6530</v>
      </c>
      <c r="J51" s="25">
        <v>39982</v>
      </c>
      <c r="L51" s="25" t="str">
        <f t="shared" si="4"/>
        <v>IT</v>
      </c>
      <c r="P51" s="25">
        <f t="shared" si="3"/>
        <v>39982</v>
      </c>
      <c r="Q51" s="25" t="s">
        <v>103</v>
      </c>
      <c r="R51" s="25">
        <v>39982</v>
      </c>
      <c r="T51" s="25" t="str">
        <f t="shared" si="2"/>
        <v>Normal Salary</v>
      </c>
    </row>
    <row r="52" spans="2:20" x14ac:dyDescent="0.3">
      <c r="B52" s="25" t="s">
        <v>104</v>
      </c>
      <c r="C52" s="25" t="s">
        <v>105</v>
      </c>
      <c r="D52" s="25" t="s">
        <v>61</v>
      </c>
      <c r="E52" s="26">
        <v>47151</v>
      </c>
      <c r="F52" s="25">
        <v>34029</v>
      </c>
      <c r="G52" s="25">
        <v>7863</v>
      </c>
      <c r="H52" s="25">
        <v>6173</v>
      </c>
      <c r="I52" s="25">
        <v>3140</v>
      </c>
      <c r="J52" s="25">
        <v>44925</v>
      </c>
      <c r="L52" s="25" t="str">
        <f>VLOOKUP(B52,B51:D101,3,FALSE)</f>
        <v>Sales</v>
      </c>
      <c r="P52" s="25">
        <f t="shared" si="3"/>
        <v>44925</v>
      </c>
      <c r="Q52" s="25" t="s">
        <v>105</v>
      </c>
      <c r="R52" s="25">
        <v>44925</v>
      </c>
      <c r="T52" s="25" t="str">
        <f t="shared" si="2"/>
        <v>Normal Salary</v>
      </c>
    </row>
    <row r="53" spans="2:20" x14ac:dyDescent="0.3">
      <c r="B53" s="25" t="s">
        <v>106</v>
      </c>
      <c r="C53" s="25" t="s">
        <v>107</v>
      </c>
      <c r="D53" s="25" t="s">
        <v>28</v>
      </c>
      <c r="E53" s="26">
        <v>47241</v>
      </c>
      <c r="F53" s="25">
        <v>43012</v>
      </c>
      <c r="G53" s="25">
        <v>7541</v>
      </c>
      <c r="H53" s="25">
        <v>4056</v>
      </c>
      <c r="I53" s="25">
        <v>3507</v>
      </c>
      <c r="J53" s="25">
        <v>51102</v>
      </c>
      <c r="L53" s="25" t="str">
        <f t="shared" si="4"/>
        <v>Finance</v>
      </c>
      <c r="P53" s="25">
        <f t="shared" si="3"/>
        <v>51102</v>
      </c>
      <c r="Q53" s="25" t="s">
        <v>107</v>
      </c>
      <c r="R53" s="25">
        <v>51102</v>
      </c>
      <c r="T53" s="25" t="str">
        <f t="shared" si="2"/>
        <v>High Salary</v>
      </c>
    </row>
    <row r="54" spans="2:20" x14ac:dyDescent="0.3">
      <c r="B54" s="25" t="s">
        <v>108</v>
      </c>
      <c r="C54" s="25" t="s">
        <v>109</v>
      </c>
      <c r="D54" s="25" t="s">
        <v>11</v>
      </c>
      <c r="E54" s="26">
        <v>47331</v>
      </c>
      <c r="F54" s="25">
        <v>35631</v>
      </c>
      <c r="G54" s="25">
        <v>6669</v>
      </c>
      <c r="H54" s="25">
        <v>9374</v>
      </c>
      <c r="I54" s="25">
        <v>4978</v>
      </c>
      <c r="J54" s="25">
        <v>46696</v>
      </c>
      <c r="L54" s="25" t="str">
        <f t="shared" si="4"/>
        <v>HR</v>
      </c>
      <c r="P54" s="25">
        <f t="shared" si="3"/>
        <v>46696</v>
      </c>
      <c r="Q54" s="25" t="s">
        <v>109</v>
      </c>
      <c r="R54" s="25">
        <v>46696</v>
      </c>
      <c r="T54" s="25" t="str">
        <f t="shared" si="2"/>
        <v>Normal Salary</v>
      </c>
    </row>
    <row r="55" spans="2:20" x14ac:dyDescent="0.3">
      <c r="B55" s="25" t="s">
        <v>110</v>
      </c>
      <c r="C55" s="25" t="s">
        <v>111</v>
      </c>
      <c r="D55" s="25" t="s">
        <v>61</v>
      </c>
      <c r="E55" s="26">
        <v>47421</v>
      </c>
      <c r="F55" s="25">
        <v>43531</v>
      </c>
      <c r="G55" s="25">
        <v>14325</v>
      </c>
      <c r="H55" s="25">
        <v>6486</v>
      </c>
      <c r="I55" s="25">
        <v>3947</v>
      </c>
      <c r="J55" s="25">
        <v>60395</v>
      </c>
      <c r="L55" s="25" t="str">
        <f t="shared" si="4"/>
        <v>Sales</v>
      </c>
      <c r="P55" s="25">
        <f t="shared" si="3"/>
        <v>60395</v>
      </c>
      <c r="Q55" s="25" t="s">
        <v>111</v>
      </c>
      <c r="R55" s="25">
        <v>60395</v>
      </c>
      <c r="T55" s="25" t="str">
        <f t="shared" si="2"/>
        <v>High Salary</v>
      </c>
    </row>
    <row r="56" spans="2:20" x14ac:dyDescent="0.3">
      <c r="B56" s="25" t="s">
        <v>112</v>
      </c>
      <c r="C56" s="25" t="s">
        <v>113</v>
      </c>
      <c r="D56" s="25" t="s">
        <v>11</v>
      </c>
      <c r="E56" s="26">
        <v>47511</v>
      </c>
      <c r="F56" s="25">
        <v>29981</v>
      </c>
      <c r="G56" s="25">
        <v>10206</v>
      </c>
      <c r="H56" s="25">
        <v>9233</v>
      </c>
      <c r="I56" s="25">
        <v>7701</v>
      </c>
      <c r="J56" s="25">
        <v>41719</v>
      </c>
      <c r="L56" s="25" t="str">
        <f t="shared" si="4"/>
        <v>HR</v>
      </c>
      <c r="P56" s="25">
        <f t="shared" si="3"/>
        <v>41719</v>
      </c>
      <c r="Q56" s="25" t="s">
        <v>113</v>
      </c>
      <c r="R56" s="25">
        <v>41719</v>
      </c>
      <c r="T56" s="25" t="str">
        <f t="shared" si="2"/>
        <v>Normal Salary</v>
      </c>
    </row>
  </sheetData>
  <mergeCells count="9">
    <mergeCell ref="V9:W9"/>
    <mergeCell ref="V14:W14"/>
    <mergeCell ref="V18:W18"/>
    <mergeCell ref="V28:W28"/>
    <mergeCell ref="B3:J4"/>
    <mergeCell ref="L3:N3"/>
    <mergeCell ref="P3:R3"/>
    <mergeCell ref="P5:R5"/>
    <mergeCell ref="V3:W3"/>
  </mergeCells>
  <pageMargins left="0.7" right="0.7" top="0.75" bottom="0.75" header="0.3" footer="0.3"/>
  <pageSetup paperSize="9" orientation="portrait" r:id="rId3"/>
  <ignoredErrors>
    <ignoredError sqref="P8:P5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9F71-9C6F-4373-AB67-44EDEF763B9C}">
  <dimension ref="A3:B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135</v>
      </c>
      <c r="B3" t="s">
        <v>397</v>
      </c>
    </row>
    <row r="4" spans="1:2" x14ac:dyDescent="0.3">
      <c r="A4" s="4" t="s">
        <v>161</v>
      </c>
      <c r="B4" s="5">
        <v>118337</v>
      </c>
    </row>
    <row r="5" spans="1:2" x14ac:dyDescent="0.3">
      <c r="A5" s="4" t="s">
        <v>166</v>
      </c>
      <c r="B5" s="5">
        <v>159791</v>
      </c>
    </row>
    <row r="6" spans="1:2" x14ac:dyDescent="0.3">
      <c r="A6" s="4" t="s">
        <v>172</v>
      </c>
      <c r="B6" s="5">
        <v>139334</v>
      </c>
    </row>
    <row r="7" spans="1:2" x14ac:dyDescent="0.3">
      <c r="A7" s="4" t="s">
        <v>152</v>
      </c>
      <c r="B7" s="5">
        <v>117466</v>
      </c>
    </row>
    <row r="8" spans="1:2" x14ac:dyDescent="0.3">
      <c r="A8" s="4" t="s">
        <v>136</v>
      </c>
      <c r="B8" s="5">
        <v>534928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329A-2875-4175-87F9-370E6BB037DC}">
  <dimension ref="B2:AH105"/>
  <sheetViews>
    <sheetView tabSelected="1" topLeftCell="AE1" workbookViewId="0">
      <selection activeCell="AJ30" sqref="AJ30"/>
    </sheetView>
  </sheetViews>
  <sheetFormatPr defaultRowHeight="14.4" x14ac:dyDescent="0.3"/>
  <cols>
    <col min="3" max="3" width="10" bestFit="1" customWidth="1"/>
    <col min="4" max="4" width="14.33203125" bestFit="1" customWidth="1"/>
    <col min="5" max="5" width="6.5546875" bestFit="1" customWidth="1"/>
    <col min="6" max="6" width="15.21875" bestFit="1" customWidth="1"/>
    <col min="7" max="7" width="12.6640625" bestFit="1" customWidth="1"/>
    <col min="10" max="10" width="9.77734375" bestFit="1" customWidth="1"/>
    <col min="11" max="11" width="10.6640625" bestFit="1" customWidth="1"/>
    <col min="13" max="13" width="26.21875" bestFit="1" customWidth="1"/>
    <col min="14" max="14" width="10.5546875" bestFit="1" customWidth="1"/>
    <col min="17" max="17" width="26.109375" bestFit="1" customWidth="1"/>
    <col min="22" max="22" width="20.33203125" customWidth="1"/>
    <col min="23" max="23" width="34.109375" bestFit="1" customWidth="1"/>
    <col min="26" max="26" width="32.77734375" bestFit="1" customWidth="1"/>
    <col min="29" max="29" width="5.44140625" customWidth="1"/>
    <col min="30" max="30" width="28.5546875" customWidth="1"/>
    <col min="31" max="31" width="22.77734375" customWidth="1"/>
    <col min="33" max="33" width="26.88671875" customWidth="1"/>
    <col min="34" max="34" width="34" customWidth="1"/>
  </cols>
  <sheetData>
    <row r="2" spans="2:34" ht="14.4" customHeight="1" x14ac:dyDescent="0.3">
      <c r="B2" s="50" t="s">
        <v>372</v>
      </c>
      <c r="C2" s="51"/>
      <c r="D2" s="51"/>
      <c r="E2" s="51"/>
      <c r="F2" s="51"/>
      <c r="G2" s="51"/>
      <c r="H2" s="51"/>
      <c r="I2" s="51"/>
      <c r="J2" s="51"/>
      <c r="K2" s="51"/>
      <c r="M2" s="45" t="s">
        <v>373</v>
      </c>
      <c r="N2" s="45"/>
      <c r="O2" s="45"/>
      <c r="P2" s="8"/>
      <c r="Q2" s="45" t="s">
        <v>376</v>
      </c>
      <c r="R2" s="45"/>
      <c r="S2" s="45"/>
      <c r="T2" s="45"/>
      <c r="U2" s="11"/>
      <c r="V2" s="46" t="s">
        <v>379</v>
      </c>
      <c r="W2" s="47"/>
      <c r="X2" s="48"/>
      <c r="Z2" s="46" t="s">
        <v>383</v>
      </c>
      <c r="AA2" s="47"/>
      <c r="AB2" s="48"/>
      <c r="AD2" s="45" t="s">
        <v>386</v>
      </c>
      <c r="AE2" s="45"/>
      <c r="AG2" s="45" t="s">
        <v>391</v>
      </c>
      <c r="AH2" s="45"/>
    </row>
    <row r="3" spans="2:34" x14ac:dyDescent="0.3"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2:34" x14ac:dyDescent="0.3">
      <c r="M4" s="9" t="s">
        <v>375</v>
      </c>
      <c r="Q4" s="9" t="s">
        <v>377</v>
      </c>
      <c r="V4" s="12" t="s">
        <v>381</v>
      </c>
      <c r="W4" s="12" t="s">
        <v>382</v>
      </c>
      <c r="Z4" s="12" t="s">
        <v>385</v>
      </c>
      <c r="AD4" s="49" t="s">
        <v>389</v>
      </c>
      <c r="AE4" s="49"/>
      <c r="AG4" s="13" t="s">
        <v>394</v>
      </c>
      <c r="AH4" s="13" t="s">
        <v>395</v>
      </c>
    </row>
    <row r="5" spans="2:34" x14ac:dyDescent="0.3">
      <c r="B5" s="7" t="s">
        <v>140</v>
      </c>
      <c r="C5" s="7" t="s">
        <v>141</v>
      </c>
      <c r="D5" s="7" t="s">
        <v>142</v>
      </c>
      <c r="E5" s="7" t="s">
        <v>143</v>
      </c>
      <c r="F5" s="7" t="s">
        <v>144</v>
      </c>
      <c r="G5" s="7" t="s">
        <v>145</v>
      </c>
      <c r="H5" s="7" t="s">
        <v>146</v>
      </c>
      <c r="I5" s="7" t="s">
        <v>147</v>
      </c>
      <c r="J5" s="7" t="s">
        <v>148</v>
      </c>
      <c r="K5" s="7" t="s">
        <v>149</v>
      </c>
      <c r="M5" s="7" t="s">
        <v>374</v>
      </c>
      <c r="Q5" s="7" t="s">
        <v>378</v>
      </c>
      <c r="V5" s="7" t="s">
        <v>380</v>
      </c>
      <c r="W5" s="7" t="s">
        <v>116</v>
      </c>
      <c r="Z5" s="7" t="s">
        <v>384</v>
      </c>
      <c r="AD5" s="7" t="s">
        <v>388</v>
      </c>
      <c r="AE5" s="7" t="s">
        <v>387</v>
      </c>
      <c r="AG5" s="7" t="s">
        <v>393</v>
      </c>
      <c r="AH5" s="7" t="s">
        <v>392</v>
      </c>
    </row>
    <row r="6" spans="2:34" x14ac:dyDescent="0.3">
      <c r="B6" s="1" t="s">
        <v>150</v>
      </c>
      <c r="C6" s="1">
        <v>44927</v>
      </c>
      <c r="D6" s="1" t="s">
        <v>151</v>
      </c>
      <c r="E6" s="1" t="s">
        <v>152</v>
      </c>
      <c r="F6" s="1" t="s">
        <v>153</v>
      </c>
      <c r="G6" s="1" t="s">
        <v>154</v>
      </c>
      <c r="H6" s="1">
        <v>8</v>
      </c>
      <c r="I6" s="1">
        <v>101</v>
      </c>
      <c r="J6" s="1">
        <v>808</v>
      </c>
      <c r="K6" s="1" t="s">
        <v>155</v>
      </c>
      <c r="M6" s="1">
        <f>VLOOKUP(G6,G6:I105,3,FALSE)</f>
        <v>101</v>
      </c>
      <c r="Q6" s="1">
        <f>_xlfn.XLOOKUP(B6,B6:B105,J6:J105)</f>
        <v>808</v>
      </c>
      <c r="V6" s="1">
        <f>MAX(J6:J105)</f>
        <v>16731</v>
      </c>
      <c r="W6" s="1" t="str">
        <f>INDEX(D6:D105,MATCH(V6,J6:J105, 0))</f>
        <v>Customer_84</v>
      </c>
      <c r="Z6" s="1" t="str">
        <f>IF(J6&gt;10000,"Big Order","Small Order")</f>
        <v>Small Order</v>
      </c>
      <c r="AD6" s="1" cm="1">
        <f t="array" ref="AD6:AD33">_xlfn._xlws.FILTER(J6:J105,E6:E105="south")</f>
        <v>12593</v>
      </c>
      <c r="AE6" s="1" t="s">
        <v>390</v>
      </c>
      <c r="AG6" s="1">
        <f>LARGE(J6:J105,1)</f>
        <v>16731</v>
      </c>
      <c r="AH6" s="1" t="str">
        <f>INDEX(K6:K105,MATCH(AG6,J6:J105,0))</f>
        <v>Amit</v>
      </c>
    </row>
    <row r="7" spans="2:34" x14ac:dyDescent="0.3">
      <c r="B7" s="1" t="s">
        <v>156</v>
      </c>
      <c r="C7" s="1">
        <v>44928</v>
      </c>
      <c r="D7" s="1" t="s">
        <v>157</v>
      </c>
      <c r="E7" s="1" t="s">
        <v>152</v>
      </c>
      <c r="F7" s="1" t="s">
        <v>153</v>
      </c>
      <c r="G7" s="1" t="s">
        <v>154</v>
      </c>
      <c r="H7" s="1">
        <v>4</v>
      </c>
      <c r="I7" s="1">
        <v>233</v>
      </c>
      <c r="J7" s="1">
        <v>932</v>
      </c>
      <c r="K7" s="1" t="s">
        <v>158</v>
      </c>
      <c r="M7" s="1">
        <f t="shared" ref="M7:M70" si="0">VLOOKUP(G7,G7:I106,3,FALSE)</f>
        <v>233</v>
      </c>
      <c r="Q7" s="1">
        <f t="shared" ref="Q7:Q70" si="1">_xlfn.XLOOKUP(B7,B7:B106,J7:J106)</f>
        <v>932</v>
      </c>
      <c r="Z7" s="1" t="str">
        <f t="shared" ref="Z7:Z70" si="2">IF(J7&gt;10000,"Big Order","Small Order")</f>
        <v>Small Order</v>
      </c>
      <c r="AD7" s="1">
        <v>689</v>
      </c>
      <c r="AE7" s="1" t="s">
        <v>390</v>
      </c>
      <c r="AG7" s="1">
        <f>LARGE(J7:J106,2)</f>
        <v>15936</v>
      </c>
      <c r="AH7" s="1" t="str">
        <f t="shared" ref="AH7:AH8" si="3">INDEX(K7:K106,MATCH(AG7,J7:J106,0))</f>
        <v>Amit</v>
      </c>
    </row>
    <row r="8" spans="2:34" ht="14.4" customHeight="1" x14ac:dyDescent="0.3">
      <c r="B8" s="1" t="s">
        <v>159</v>
      </c>
      <c r="C8" s="1">
        <v>44929</v>
      </c>
      <c r="D8" s="1" t="s">
        <v>160</v>
      </c>
      <c r="E8" s="1" t="s">
        <v>161</v>
      </c>
      <c r="F8" s="1" t="s">
        <v>162</v>
      </c>
      <c r="G8" s="1" t="s">
        <v>163</v>
      </c>
      <c r="H8" s="1">
        <v>4</v>
      </c>
      <c r="I8" s="1">
        <v>461</v>
      </c>
      <c r="J8" s="1">
        <v>1844</v>
      </c>
      <c r="K8" s="1" t="s">
        <v>155</v>
      </c>
      <c r="M8" s="1">
        <f t="shared" si="0"/>
        <v>461</v>
      </c>
      <c r="Q8" s="1">
        <f t="shared" si="1"/>
        <v>1844</v>
      </c>
      <c r="Z8" s="1" t="str">
        <f t="shared" si="2"/>
        <v>Small Order</v>
      </c>
      <c r="AD8" s="1">
        <v>5672</v>
      </c>
      <c r="AE8" s="1" t="s">
        <v>390</v>
      </c>
      <c r="AG8" s="1">
        <f>LARGE(J8:J107,3)</f>
        <v>15363</v>
      </c>
      <c r="AH8" s="1" t="str">
        <f t="shared" si="3"/>
        <v>Ravi</v>
      </c>
    </row>
    <row r="9" spans="2:34" x14ac:dyDescent="0.3">
      <c r="B9" s="1" t="s">
        <v>164</v>
      </c>
      <c r="C9" s="1">
        <v>44930</v>
      </c>
      <c r="D9" s="1" t="s">
        <v>165</v>
      </c>
      <c r="E9" s="1" t="s">
        <v>166</v>
      </c>
      <c r="F9" s="1" t="s">
        <v>167</v>
      </c>
      <c r="G9" s="1" t="s">
        <v>168</v>
      </c>
      <c r="H9" s="1">
        <v>6</v>
      </c>
      <c r="I9" s="1">
        <v>1205</v>
      </c>
      <c r="J9" s="1">
        <v>7230</v>
      </c>
      <c r="K9" s="1" t="s">
        <v>169</v>
      </c>
      <c r="M9" s="1">
        <f t="shared" si="0"/>
        <v>1205</v>
      </c>
      <c r="Q9" s="1">
        <f t="shared" si="1"/>
        <v>7230</v>
      </c>
      <c r="Z9" s="1" t="str">
        <f t="shared" si="2"/>
        <v>Small Order</v>
      </c>
      <c r="AD9" s="1">
        <v>2885</v>
      </c>
      <c r="AE9" s="1" t="s">
        <v>390</v>
      </c>
    </row>
    <row r="10" spans="2:34" x14ac:dyDescent="0.3">
      <c r="B10" s="1" t="s">
        <v>170</v>
      </c>
      <c r="C10" s="1">
        <v>44931</v>
      </c>
      <c r="D10" s="1" t="s">
        <v>171</v>
      </c>
      <c r="E10" s="1" t="s">
        <v>172</v>
      </c>
      <c r="F10" s="1" t="s">
        <v>167</v>
      </c>
      <c r="G10" s="1" t="s">
        <v>173</v>
      </c>
      <c r="H10" s="1">
        <v>7</v>
      </c>
      <c r="I10" s="1">
        <v>1799</v>
      </c>
      <c r="J10" s="1">
        <v>12593</v>
      </c>
      <c r="K10" s="1" t="s">
        <v>174</v>
      </c>
      <c r="M10" s="1">
        <f t="shared" si="0"/>
        <v>1799</v>
      </c>
      <c r="Q10" s="1">
        <f t="shared" si="1"/>
        <v>12593</v>
      </c>
      <c r="Z10" s="1" t="str">
        <f t="shared" si="2"/>
        <v>Big Order</v>
      </c>
      <c r="AD10" s="1">
        <v>1515</v>
      </c>
      <c r="AE10" s="1" t="s">
        <v>390</v>
      </c>
      <c r="AG10" s="45" t="s">
        <v>396</v>
      </c>
      <c r="AH10" s="45"/>
    </row>
    <row r="11" spans="2:34" x14ac:dyDescent="0.3">
      <c r="B11" s="1" t="s">
        <v>175</v>
      </c>
      <c r="C11" s="1">
        <v>44932</v>
      </c>
      <c r="D11" s="1" t="s">
        <v>176</v>
      </c>
      <c r="E11" s="1" t="s">
        <v>172</v>
      </c>
      <c r="F11" s="1" t="s">
        <v>167</v>
      </c>
      <c r="G11" s="1" t="s">
        <v>168</v>
      </c>
      <c r="H11" s="1">
        <v>1</v>
      </c>
      <c r="I11" s="1">
        <v>689</v>
      </c>
      <c r="J11" s="1">
        <v>689</v>
      </c>
      <c r="K11" s="1" t="s">
        <v>155</v>
      </c>
      <c r="M11" s="1">
        <f t="shared" si="0"/>
        <v>689</v>
      </c>
      <c r="Q11" s="1">
        <f t="shared" si="1"/>
        <v>689</v>
      </c>
      <c r="Z11" s="1" t="str">
        <f t="shared" si="2"/>
        <v>Small Order</v>
      </c>
      <c r="AD11" s="1">
        <v>1536</v>
      </c>
      <c r="AE11" s="1" t="s">
        <v>390</v>
      </c>
    </row>
    <row r="12" spans="2:34" x14ac:dyDescent="0.3">
      <c r="B12" s="1" t="s">
        <v>177</v>
      </c>
      <c r="C12" s="1">
        <v>44933</v>
      </c>
      <c r="D12" s="1" t="s">
        <v>178</v>
      </c>
      <c r="E12" s="1" t="s">
        <v>166</v>
      </c>
      <c r="F12" s="1" t="s">
        <v>162</v>
      </c>
      <c r="G12" s="1" t="s">
        <v>179</v>
      </c>
      <c r="H12" s="1">
        <v>9</v>
      </c>
      <c r="I12" s="1">
        <v>125</v>
      </c>
      <c r="J12" s="1">
        <v>1125</v>
      </c>
      <c r="K12" s="1" t="s">
        <v>174</v>
      </c>
      <c r="M12" s="1">
        <f t="shared" si="0"/>
        <v>125</v>
      </c>
      <c r="N12" s="6"/>
      <c r="Q12" s="1">
        <f t="shared" si="1"/>
        <v>1125</v>
      </c>
      <c r="Z12" s="1" t="str">
        <f t="shared" si="2"/>
        <v>Small Order</v>
      </c>
      <c r="AD12" s="1">
        <v>3286</v>
      </c>
      <c r="AE12" s="1" t="s">
        <v>390</v>
      </c>
      <c r="AG12" s="3" t="s">
        <v>143</v>
      </c>
      <c r="AH12" t="s">
        <v>398</v>
      </c>
    </row>
    <row r="13" spans="2:34" x14ac:dyDescent="0.3">
      <c r="B13" s="1" t="s">
        <v>180</v>
      </c>
      <c r="C13" s="1">
        <v>44934</v>
      </c>
      <c r="D13" s="1" t="s">
        <v>181</v>
      </c>
      <c r="E13" s="1" t="s">
        <v>172</v>
      </c>
      <c r="F13" s="1" t="s">
        <v>162</v>
      </c>
      <c r="G13" s="1" t="s">
        <v>179</v>
      </c>
      <c r="H13" s="1">
        <v>8</v>
      </c>
      <c r="I13" s="1">
        <v>709</v>
      </c>
      <c r="J13" s="1">
        <v>5672</v>
      </c>
      <c r="K13" s="1" t="s">
        <v>182</v>
      </c>
      <c r="M13" s="1">
        <f t="shared" si="0"/>
        <v>709</v>
      </c>
      <c r="Q13" s="1">
        <f t="shared" si="1"/>
        <v>5672</v>
      </c>
      <c r="Z13" s="1" t="str">
        <f t="shared" si="2"/>
        <v>Small Order</v>
      </c>
      <c r="AD13" s="1">
        <v>6660</v>
      </c>
      <c r="AE13" s="1" t="s">
        <v>390</v>
      </c>
      <c r="AG13" s="4" t="s">
        <v>161</v>
      </c>
      <c r="AH13" s="5">
        <v>118337</v>
      </c>
    </row>
    <row r="14" spans="2:34" x14ac:dyDescent="0.3">
      <c r="B14" s="1" t="s">
        <v>183</v>
      </c>
      <c r="C14" s="1">
        <v>44935</v>
      </c>
      <c r="D14" s="1" t="s">
        <v>184</v>
      </c>
      <c r="E14" s="1" t="s">
        <v>161</v>
      </c>
      <c r="F14" s="1" t="s">
        <v>167</v>
      </c>
      <c r="G14" s="1" t="s">
        <v>185</v>
      </c>
      <c r="H14" s="1">
        <v>8</v>
      </c>
      <c r="I14" s="1">
        <v>729</v>
      </c>
      <c r="J14" s="1">
        <v>5832</v>
      </c>
      <c r="K14" s="1" t="s">
        <v>174</v>
      </c>
      <c r="M14" s="1">
        <f t="shared" si="0"/>
        <v>729</v>
      </c>
      <c r="Q14" s="1">
        <f t="shared" si="1"/>
        <v>5832</v>
      </c>
      <c r="Z14" s="1" t="str">
        <f t="shared" si="2"/>
        <v>Small Order</v>
      </c>
      <c r="AD14" s="1">
        <v>3480</v>
      </c>
      <c r="AE14" s="1" t="s">
        <v>390</v>
      </c>
      <c r="AG14" s="4" t="s">
        <v>166</v>
      </c>
      <c r="AH14" s="5">
        <v>159791</v>
      </c>
    </row>
    <row r="15" spans="2:34" x14ac:dyDescent="0.3">
      <c r="B15" s="1" t="s">
        <v>186</v>
      </c>
      <c r="C15" s="1">
        <v>44936</v>
      </c>
      <c r="D15" s="1" t="s">
        <v>187</v>
      </c>
      <c r="E15" s="1" t="s">
        <v>172</v>
      </c>
      <c r="F15" s="1" t="s">
        <v>188</v>
      </c>
      <c r="G15" s="1" t="s">
        <v>163</v>
      </c>
      <c r="H15" s="1">
        <v>5</v>
      </c>
      <c r="I15" s="1">
        <v>577</v>
      </c>
      <c r="J15" s="1">
        <v>2885</v>
      </c>
      <c r="K15" s="1" t="s">
        <v>182</v>
      </c>
      <c r="M15" s="1">
        <f t="shared" si="0"/>
        <v>577</v>
      </c>
      <c r="Q15" s="1">
        <f t="shared" si="1"/>
        <v>2885</v>
      </c>
      <c r="Z15" s="1" t="str">
        <f t="shared" si="2"/>
        <v>Small Order</v>
      </c>
      <c r="AD15" s="1">
        <v>1766</v>
      </c>
      <c r="AE15" s="1" t="s">
        <v>390</v>
      </c>
      <c r="AG15" s="4" t="s">
        <v>172</v>
      </c>
      <c r="AH15" s="5">
        <v>139334</v>
      </c>
    </row>
    <row r="16" spans="2:34" x14ac:dyDescent="0.3">
      <c r="B16" s="1" t="s">
        <v>189</v>
      </c>
      <c r="C16" s="1">
        <v>44937</v>
      </c>
      <c r="D16" s="1" t="s">
        <v>190</v>
      </c>
      <c r="E16" s="1" t="s">
        <v>166</v>
      </c>
      <c r="F16" s="1" t="s">
        <v>167</v>
      </c>
      <c r="G16" s="1" t="s">
        <v>191</v>
      </c>
      <c r="H16" s="1">
        <v>5</v>
      </c>
      <c r="I16" s="1">
        <v>554</v>
      </c>
      <c r="J16" s="1">
        <v>2770</v>
      </c>
      <c r="K16" s="1" t="s">
        <v>155</v>
      </c>
      <c r="M16" s="1">
        <f t="shared" si="0"/>
        <v>554</v>
      </c>
      <c r="Q16" s="1">
        <f t="shared" si="1"/>
        <v>2770</v>
      </c>
      <c r="Z16" s="1" t="str">
        <f t="shared" si="2"/>
        <v>Small Order</v>
      </c>
      <c r="AD16" s="1">
        <v>4644</v>
      </c>
      <c r="AE16" s="1" t="s">
        <v>390</v>
      </c>
      <c r="AG16" s="4" t="s">
        <v>152</v>
      </c>
      <c r="AH16" s="5">
        <v>117466</v>
      </c>
    </row>
    <row r="17" spans="2:34" x14ac:dyDescent="0.3">
      <c r="B17" s="1" t="s">
        <v>192</v>
      </c>
      <c r="C17" s="1">
        <v>44938</v>
      </c>
      <c r="D17" s="1" t="s">
        <v>193</v>
      </c>
      <c r="E17" s="1" t="s">
        <v>166</v>
      </c>
      <c r="F17" s="1" t="s">
        <v>153</v>
      </c>
      <c r="G17" s="1" t="s">
        <v>179</v>
      </c>
      <c r="H17" s="1">
        <v>6</v>
      </c>
      <c r="I17" s="1">
        <v>542</v>
      </c>
      <c r="J17" s="1">
        <v>3252</v>
      </c>
      <c r="K17" s="1" t="s">
        <v>155</v>
      </c>
      <c r="M17" s="1">
        <f t="shared" si="0"/>
        <v>542</v>
      </c>
      <c r="Q17" s="1">
        <f t="shared" si="1"/>
        <v>3252</v>
      </c>
      <c r="Z17" s="1" t="str">
        <f t="shared" si="2"/>
        <v>Small Order</v>
      </c>
      <c r="AD17" s="1">
        <v>4172</v>
      </c>
      <c r="AE17" s="1" t="s">
        <v>390</v>
      </c>
      <c r="AG17" s="4" t="s">
        <v>136</v>
      </c>
      <c r="AH17" s="5">
        <v>534928</v>
      </c>
    </row>
    <row r="18" spans="2:34" x14ac:dyDescent="0.3">
      <c r="B18" s="1" t="s">
        <v>194</v>
      </c>
      <c r="C18" s="1">
        <v>44939</v>
      </c>
      <c r="D18" s="1" t="s">
        <v>195</v>
      </c>
      <c r="E18" s="1" t="s">
        <v>161</v>
      </c>
      <c r="F18" s="1" t="s">
        <v>153</v>
      </c>
      <c r="G18" s="1" t="s">
        <v>154</v>
      </c>
      <c r="H18" s="1">
        <v>1</v>
      </c>
      <c r="I18" s="1">
        <v>1537</v>
      </c>
      <c r="J18" s="1">
        <v>1537</v>
      </c>
      <c r="K18" s="1" t="s">
        <v>169</v>
      </c>
      <c r="M18" s="1">
        <f t="shared" si="0"/>
        <v>1537</v>
      </c>
      <c r="Q18" s="1">
        <f t="shared" si="1"/>
        <v>1537</v>
      </c>
      <c r="Z18" s="1" t="str">
        <f t="shared" si="2"/>
        <v>Small Order</v>
      </c>
      <c r="AD18" s="1">
        <v>5008</v>
      </c>
      <c r="AE18" s="1" t="s">
        <v>390</v>
      </c>
    </row>
    <row r="19" spans="2:34" x14ac:dyDescent="0.3">
      <c r="B19" s="1" t="s">
        <v>196</v>
      </c>
      <c r="C19" s="1">
        <v>44940</v>
      </c>
      <c r="D19" s="1" t="s">
        <v>197</v>
      </c>
      <c r="E19" s="1" t="s">
        <v>166</v>
      </c>
      <c r="F19" s="1" t="s">
        <v>188</v>
      </c>
      <c r="G19" s="1" t="s">
        <v>163</v>
      </c>
      <c r="H19" s="1">
        <v>9</v>
      </c>
      <c r="I19" s="1">
        <v>693</v>
      </c>
      <c r="J19" s="1">
        <v>6237</v>
      </c>
      <c r="K19" s="1" t="s">
        <v>155</v>
      </c>
      <c r="M19" s="1">
        <f t="shared" si="0"/>
        <v>693</v>
      </c>
      <c r="Q19" s="1">
        <f t="shared" si="1"/>
        <v>6237</v>
      </c>
      <c r="Z19" s="1" t="str">
        <f t="shared" si="2"/>
        <v>Small Order</v>
      </c>
      <c r="AD19" s="1">
        <v>3968</v>
      </c>
      <c r="AE19" s="1" t="s">
        <v>390</v>
      </c>
      <c r="AG19" s="45" t="s">
        <v>399</v>
      </c>
      <c r="AH19" s="45"/>
    </row>
    <row r="20" spans="2:34" x14ac:dyDescent="0.3">
      <c r="B20" s="1" t="s">
        <v>198</v>
      </c>
      <c r="C20" s="1">
        <v>44941</v>
      </c>
      <c r="D20" s="1" t="s">
        <v>199</v>
      </c>
      <c r="E20" s="1" t="s">
        <v>172</v>
      </c>
      <c r="F20" s="1" t="s">
        <v>162</v>
      </c>
      <c r="G20" s="1" t="s">
        <v>191</v>
      </c>
      <c r="H20" s="1">
        <v>3</v>
      </c>
      <c r="I20" s="1">
        <v>505</v>
      </c>
      <c r="J20" s="1">
        <v>1515</v>
      </c>
      <c r="K20" s="1" t="s">
        <v>155</v>
      </c>
      <c r="M20" s="1">
        <f t="shared" si="0"/>
        <v>505</v>
      </c>
      <c r="Q20" s="1">
        <f t="shared" si="1"/>
        <v>1515</v>
      </c>
      <c r="Z20" s="1" t="str">
        <f t="shared" si="2"/>
        <v>Small Order</v>
      </c>
      <c r="AD20" s="1">
        <v>9162</v>
      </c>
      <c r="AE20" s="1" t="s">
        <v>390</v>
      </c>
    </row>
    <row r="21" spans="2:34" x14ac:dyDescent="0.3">
      <c r="B21" s="1" t="s">
        <v>200</v>
      </c>
      <c r="C21" s="1">
        <v>44942</v>
      </c>
      <c r="D21" s="1" t="s">
        <v>201</v>
      </c>
      <c r="E21" s="1" t="s">
        <v>166</v>
      </c>
      <c r="F21" s="1" t="s">
        <v>162</v>
      </c>
      <c r="G21" s="1" t="s">
        <v>154</v>
      </c>
      <c r="H21" s="1">
        <v>6</v>
      </c>
      <c r="I21" s="1">
        <v>1268</v>
      </c>
      <c r="J21" s="1">
        <v>7608</v>
      </c>
      <c r="K21" s="1" t="s">
        <v>182</v>
      </c>
      <c r="M21" s="1">
        <f t="shared" si="0"/>
        <v>1268</v>
      </c>
      <c r="Q21" s="1">
        <f t="shared" si="1"/>
        <v>7608</v>
      </c>
      <c r="Z21" s="1" t="str">
        <f t="shared" si="2"/>
        <v>Small Order</v>
      </c>
      <c r="AD21" s="1">
        <v>5650</v>
      </c>
      <c r="AE21" s="1" t="s">
        <v>390</v>
      </c>
      <c r="AG21" s="3" t="s">
        <v>144</v>
      </c>
      <c r="AH21" t="s">
        <v>398</v>
      </c>
    </row>
    <row r="22" spans="2:34" x14ac:dyDescent="0.3">
      <c r="B22" s="1" t="s">
        <v>202</v>
      </c>
      <c r="C22" s="1">
        <v>44943</v>
      </c>
      <c r="D22" s="1" t="s">
        <v>203</v>
      </c>
      <c r="E22" s="1" t="s">
        <v>161</v>
      </c>
      <c r="F22" s="1" t="s">
        <v>188</v>
      </c>
      <c r="G22" s="1" t="s">
        <v>185</v>
      </c>
      <c r="H22" s="1">
        <v>2</v>
      </c>
      <c r="I22" s="1">
        <v>1410</v>
      </c>
      <c r="J22" s="1">
        <v>2820</v>
      </c>
      <c r="K22" s="1" t="s">
        <v>158</v>
      </c>
      <c r="M22" s="1">
        <f t="shared" si="0"/>
        <v>1410</v>
      </c>
      <c r="O22" s="10"/>
      <c r="Q22" s="1">
        <f t="shared" si="1"/>
        <v>2820</v>
      </c>
      <c r="Z22" s="1" t="str">
        <f t="shared" si="2"/>
        <v>Small Order</v>
      </c>
      <c r="AD22" s="1">
        <v>15936</v>
      </c>
      <c r="AE22" s="1" t="s">
        <v>390</v>
      </c>
      <c r="AG22" s="4" t="s">
        <v>153</v>
      </c>
      <c r="AH22" s="5">
        <v>151348</v>
      </c>
    </row>
    <row r="23" spans="2:34" x14ac:dyDescent="0.3">
      <c r="B23" s="1" t="s">
        <v>204</v>
      </c>
      <c r="C23" s="1">
        <v>44944</v>
      </c>
      <c r="D23" s="1" t="s">
        <v>205</v>
      </c>
      <c r="E23" s="1" t="s">
        <v>161</v>
      </c>
      <c r="F23" s="1" t="s">
        <v>162</v>
      </c>
      <c r="G23" s="1" t="s">
        <v>185</v>
      </c>
      <c r="H23" s="1">
        <v>6</v>
      </c>
      <c r="I23" s="1">
        <v>539</v>
      </c>
      <c r="J23" s="1">
        <v>3234</v>
      </c>
      <c r="K23" s="1" t="s">
        <v>174</v>
      </c>
      <c r="M23" s="1">
        <f t="shared" si="0"/>
        <v>539</v>
      </c>
      <c r="Q23" s="1">
        <f t="shared" si="1"/>
        <v>3234</v>
      </c>
      <c r="Z23" s="1" t="str">
        <f t="shared" si="2"/>
        <v>Small Order</v>
      </c>
      <c r="AD23" s="1">
        <v>5670</v>
      </c>
      <c r="AE23" s="1" t="s">
        <v>390</v>
      </c>
      <c r="AG23" s="4" t="s">
        <v>167</v>
      </c>
      <c r="AH23" s="5">
        <v>137078</v>
      </c>
    </row>
    <row r="24" spans="2:34" x14ac:dyDescent="0.3">
      <c r="B24" s="1" t="s">
        <v>206</v>
      </c>
      <c r="C24" s="1">
        <v>44945</v>
      </c>
      <c r="D24" s="1" t="s">
        <v>207</v>
      </c>
      <c r="E24" s="1" t="s">
        <v>152</v>
      </c>
      <c r="F24" s="1" t="s">
        <v>153</v>
      </c>
      <c r="G24" s="1" t="s">
        <v>191</v>
      </c>
      <c r="H24" s="1">
        <v>3</v>
      </c>
      <c r="I24" s="1">
        <v>564</v>
      </c>
      <c r="J24" s="1">
        <v>1692</v>
      </c>
      <c r="K24" s="1" t="s">
        <v>174</v>
      </c>
      <c r="M24" s="1">
        <f t="shared" si="0"/>
        <v>564</v>
      </c>
      <c r="Q24" s="1">
        <f t="shared" si="1"/>
        <v>1692</v>
      </c>
      <c r="Z24" s="1" t="str">
        <f t="shared" si="2"/>
        <v>Small Order</v>
      </c>
      <c r="AD24" s="1">
        <v>1023</v>
      </c>
      <c r="AE24" s="1" t="s">
        <v>390</v>
      </c>
      <c r="AG24" s="4" t="s">
        <v>162</v>
      </c>
      <c r="AH24" s="5">
        <v>145329</v>
      </c>
    </row>
    <row r="25" spans="2:34" x14ac:dyDescent="0.3">
      <c r="B25" s="1" t="s">
        <v>208</v>
      </c>
      <c r="C25" s="1">
        <v>44946</v>
      </c>
      <c r="D25" s="1" t="s">
        <v>209</v>
      </c>
      <c r="E25" s="1" t="s">
        <v>161</v>
      </c>
      <c r="F25" s="1" t="s">
        <v>188</v>
      </c>
      <c r="G25" s="1" t="s">
        <v>154</v>
      </c>
      <c r="H25" s="1">
        <v>5</v>
      </c>
      <c r="I25" s="1">
        <v>1282</v>
      </c>
      <c r="J25" s="1">
        <v>6410</v>
      </c>
      <c r="K25" s="1" t="s">
        <v>169</v>
      </c>
      <c r="M25" s="1">
        <f t="shared" si="0"/>
        <v>1282</v>
      </c>
      <c r="Q25" s="1">
        <f t="shared" si="1"/>
        <v>6410</v>
      </c>
      <c r="Z25" s="1" t="str">
        <f t="shared" si="2"/>
        <v>Small Order</v>
      </c>
      <c r="AD25" s="1">
        <v>3978</v>
      </c>
      <c r="AE25" s="1" t="s">
        <v>390</v>
      </c>
      <c r="AG25" s="4" t="s">
        <v>188</v>
      </c>
      <c r="AH25" s="5">
        <v>101173</v>
      </c>
    </row>
    <row r="26" spans="2:34" x14ac:dyDescent="0.3">
      <c r="B26" s="1" t="s">
        <v>210</v>
      </c>
      <c r="C26" s="1">
        <v>44947</v>
      </c>
      <c r="D26" s="1" t="s">
        <v>211</v>
      </c>
      <c r="E26" s="1" t="s">
        <v>152</v>
      </c>
      <c r="F26" s="1" t="s">
        <v>162</v>
      </c>
      <c r="G26" s="1" t="s">
        <v>212</v>
      </c>
      <c r="H26" s="1">
        <v>4</v>
      </c>
      <c r="I26" s="1">
        <v>1136</v>
      </c>
      <c r="J26" s="1">
        <v>4544</v>
      </c>
      <c r="K26" s="1" t="s">
        <v>174</v>
      </c>
      <c r="M26" s="1">
        <f t="shared" si="0"/>
        <v>1136</v>
      </c>
      <c r="Q26" s="1">
        <f t="shared" si="1"/>
        <v>4544</v>
      </c>
      <c r="Z26" s="1" t="str">
        <f t="shared" si="2"/>
        <v>Small Order</v>
      </c>
      <c r="AD26" s="1">
        <v>7368</v>
      </c>
      <c r="AE26" s="1" t="s">
        <v>390</v>
      </c>
      <c r="AG26" s="4" t="s">
        <v>136</v>
      </c>
      <c r="AH26" s="5">
        <v>534928</v>
      </c>
    </row>
    <row r="27" spans="2:34" x14ac:dyDescent="0.3">
      <c r="B27" s="1" t="s">
        <v>213</v>
      </c>
      <c r="C27" s="1">
        <v>44948</v>
      </c>
      <c r="D27" s="1" t="s">
        <v>214</v>
      </c>
      <c r="E27" s="1" t="s">
        <v>152</v>
      </c>
      <c r="F27" s="1" t="s">
        <v>153</v>
      </c>
      <c r="G27" s="1" t="s">
        <v>212</v>
      </c>
      <c r="H27" s="1">
        <v>1</v>
      </c>
      <c r="I27" s="1">
        <v>1726</v>
      </c>
      <c r="J27" s="1">
        <v>1726</v>
      </c>
      <c r="K27" s="1" t="s">
        <v>155</v>
      </c>
      <c r="M27" s="1">
        <f t="shared" si="0"/>
        <v>1726</v>
      </c>
      <c r="Q27" s="1">
        <f t="shared" si="1"/>
        <v>1726</v>
      </c>
      <c r="Z27" s="1" t="str">
        <f t="shared" si="2"/>
        <v>Small Order</v>
      </c>
      <c r="AD27" s="1">
        <v>8088</v>
      </c>
      <c r="AE27" s="1" t="s">
        <v>390</v>
      </c>
    </row>
    <row r="28" spans="2:34" x14ac:dyDescent="0.3">
      <c r="B28" s="1" t="s">
        <v>215</v>
      </c>
      <c r="C28" s="1">
        <v>44949</v>
      </c>
      <c r="D28" s="1" t="s">
        <v>216</v>
      </c>
      <c r="E28" s="1" t="s">
        <v>161</v>
      </c>
      <c r="F28" s="1" t="s">
        <v>162</v>
      </c>
      <c r="G28" s="1" t="s">
        <v>185</v>
      </c>
      <c r="H28" s="1">
        <v>4</v>
      </c>
      <c r="I28" s="1">
        <v>1591</v>
      </c>
      <c r="J28" s="1">
        <v>6364</v>
      </c>
      <c r="K28" s="1" t="s">
        <v>169</v>
      </c>
      <c r="M28" s="1">
        <f t="shared" si="0"/>
        <v>1591</v>
      </c>
      <c r="Q28" s="1">
        <f t="shared" si="1"/>
        <v>6364</v>
      </c>
      <c r="Z28" s="1" t="str">
        <f t="shared" si="2"/>
        <v>Small Order</v>
      </c>
      <c r="AD28" s="1">
        <v>4086</v>
      </c>
      <c r="AE28" s="1" t="s">
        <v>390</v>
      </c>
      <c r="AG28" s="45" t="s">
        <v>400</v>
      </c>
      <c r="AH28" s="45"/>
    </row>
    <row r="29" spans="2:34" x14ac:dyDescent="0.3">
      <c r="B29" s="1" t="s">
        <v>217</v>
      </c>
      <c r="C29" s="1">
        <v>44950</v>
      </c>
      <c r="D29" s="1" t="s">
        <v>218</v>
      </c>
      <c r="E29" s="1" t="s">
        <v>166</v>
      </c>
      <c r="F29" s="1" t="s">
        <v>188</v>
      </c>
      <c r="G29" s="1" t="s">
        <v>154</v>
      </c>
      <c r="H29" s="1">
        <v>8</v>
      </c>
      <c r="I29" s="1">
        <v>1524</v>
      </c>
      <c r="J29" s="1">
        <v>12192</v>
      </c>
      <c r="K29" s="1" t="s">
        <v>174</v>
      </c>
      <c r="M29" s="1">
        <f t="shared" si="0"/>
        <v>1524</v>
      </c>
      <c r="Q29" s="1">
        <f t="shared" si="1"/>
        <v>12192</v>
      </c>
      <c r="Z29" s="1" t="str">
        <f t="shared" si="2"/>
        <v>Big Order</v>
      </c>
      <c r="AD29" s="1">
        <v>5648</v>
      </c>
      <c r="AE29" s="1" t="s">
        <v>390</v>
      </c>
    </row>
    <row r="30" spans="2:34" x14ac:dyDescent="0.3">
      <c r="B30" s="1" t="s">
        <v>219</v>
      </c>
      <c r="C30" s="1">
        <v>44951</v>
      </c>
      <c r="D30" s="1" t="s">
        <v>220</v>
      </c>
      <c r="E30" s="1" t="s">
        <v>172</v>
      </c>
      <c r="F30" s="1" t="s">
        <v>153</v>
      </c>
      <c r="G30" s="1" t="s">
        <v>191</v>
      </c>
      <c r="H30" s="1">
        <v>8</v>
      </c>
      <c r="I30" s="1">
        <v>192</v>
      </c>
      <c r="J30" s="1">
        <v>1536</v>
      </c>
      <c r="K30" s="1" t="s">
        <v>169</v>
      </c>
      <c r="M30" s="1">
        <f t="shared" si="0"/>
        <v>192</v>
      </c>
      <c r="Q30" s="1">
        <f t="shared" si="1"/>
        <v>1536</v>
      </c>
      <c r="Z30" s="1" t="str">
        <f t="shared" si="2"/>
        <v>Small Order</v>
      </c>
      <c r="AD30" s="1">
        <v>2686</v>
      </c>
      <c r="AE30" s="1" t="s">
        <v>390</v>
      </c>
      <c r="AG30" s="3" t="s">
        <v>401</v>
      </c>
      <c r="AH30" t="s">
        <v>398</v>
      </c>
    </row>
    <row r="31" spans="2:34" x14ac:dyDescent="0.3">
      <c r="B31" s="1" t="s">
        <v>221</v>
      </c>
      <c r="C31" s="1">
        <v>44952</v>
      </c>
      <c r="D31" s="1" t="s">
        <v>222</v>
      </c>
      <c r="E31" s="1" t="s">
        <v>166</v>
      </c>
      <c r="F31" s="1" t="s">
        <v>153</v>
      </c>
      <c r="G31" s="1" t="s">
        <v>212</v>
      </c>
      <c r="H31" s="1">
        <v>3</v>
      </c>
      <c r="I31" s="1">
        <v>1674</v>
      </c>
      <c r="J31" s="1">
        <v>5022</v>
      </c>
      <c r="K31" s="1" t="s">
        <v>174</v>
      </c>
      <c r="M31" s="1">
        <f t="shared" si="0"/>
        <v>1674</v>
      </c>
      <c r="Q31" s="1">
        <f t="shared" si="1"/>
        <v>5022</v>
      </c>
      <c r="Z31" s="1" t="str">
        <f t="shared" si="2"/>
        <v>Small Order</v>
      </c>
      <c r="AD31" s="1">
        <v>2064</v>
      </c>
      <c r="AE31" s="1" t="s">
        <v>390</v>
      </c>
      <c r="AG31" s="4" t="s">
        <v>158</v>
      </c>
      <c r="AH31" s="5">
        <v>114176</v>
      </c>
    </row>
    <row r="32" spans="2:34" x14ac:dyDescent="0.3">
      <c r="B32" s="1" t="s">
        <v>223</v>
      </c>
      <c r="C32" s="1">
        <v>44953</v>
      </c>
      <c r="D32" s="1" t="s">
        <v>224</v>
      </c>
      <c r="E32" s="1" t="s">
        <v>152</v>
      </c>
      <c r="F32" s="1" t="s">
        <v>167</v>
      </c>
      <c r="G32" s="1" t="s">
        <v>168</v>
      </c>
      <c r="H32" s="1">
        <v>6</v>
      </c>
      <c r="I32" s="1">
        <v>1478</v>
      </c>
      <c r="J32" s="1">
        <v>8868</v>
      </c>
      <c r="K32" s="1" t="s">
        <v>174</v>
      </c>
      <c r="M32" s="1">
        <f t="shared" si="0"/>
        <v>1478</v>
      </c>
      <c r="Q32" s="1">
        <f t="shared" si="1"/>
        <v>8868</v>
      </c>
      <c r="Z32" s="1" t="str">
        <f t="shared" si="2"/>
        <v>Small Order</v>
      </c>
      <c r="AD32" s="1">
        <v>3808</v>
      </c>
      <c r="AE32" s="1" t="s">
        <v>390</v>
      </c>
      <c r="AG32" s="4" t="s">
        <v>155</v>
      </c>
      <c r="AH32" s="5">
        <v>115990</v>
      </c>
    </row>
    <row r="33" spans="2:34" x14ac:dyDescent="0.3">
      <c r="B33" s="1" t="s">
        <v>225</v>
      </c>
      <c r="C33" s="1">
        <v>44954</v>
      </c>
      <c r="D33" s="1" t="s">
        <v>226</v>
      </c>
      <c r="E33" s="1" t="s">
        <v>172</v>
      </c>
      <c r="F33" s="1" t="s">
        <v>188</v>
      </c>
      <c r="G33" s="1" t="s">
        <v>168</v>
      </c>
      <c r="H33" s="1">
        <v>2</v>
      </c>
      <c r="I33" s="1">
        <v>1643</v>
      </c>
      <c r="J33" s="1">
        <v>3286</v>
      </c>
      <c r="K33" s="1" t="s">
        <v>155</v>
      </c>
      <c r="M33" s="1">
        <f t="shared" si="0"/>
        <v>1643</v>
      </c>
      <c r="Q33" s="1">
        <f t="shared" si="1"/>
        <v>3286</v>
      </c>
      <c r="Z33" s="1" t="str">
        <f t="shared" si="2"/>
        <v>Small Order</v>
      </c>
      <c r="AD33" s="1">
        <v>6293</v>
      </c>
      <c r="AE33" s="1" t="s">
        <v>390</v>
      </c>
      <c r="AG33" s="4" t="s">
        <v>169</v>
      </c>
      <c r="AH33" s="5">
        <v>81798</v>
      </c>
    </row>
    <row r="34" spans="2:34" x14ac:dyDescent="0.3">
      <c r="B34" s="1" t="s">
        <v>227</v>
      </c>
      <c r="C34" s="1">
        <v>44955</v>
      </c>
      <c r="D34" s="1" t="s">
        <v>228</v>
      </c>
      <c r="E34" s="1" t="s">
        <v>152</v>
      </c>
      <c r="F34" s="1" t="s">
        <v>167</v>
      </c>
      <c r="G34" s="1" t="s">
        <v>185</v>
      </c>
      <c r="H34" s="1">
        <v>8</v>
      </c>
      <c r="I34" s="1">
        <v>718</v>
      </c>
      <c r="J34" s="1">
        <v>5744</v>
      </c>
      <c r="K34" s="1" t="s">
        <v>182</v>
      </c>
      <c r="M34" s="1">
        <f t="shared" si="0"/>
        <v>718</v>
      </c>
      <c r="Q34" s="1">
        <f t="shared" si="1"/>
        <v>5744</v>
      </c>
      <c r="Z34" s="1" t="str">
        <f t="shared" si="2"/>
        <v>Small Order</v>
      </c>
      <c r="AG34" s="4" t="s">
        <v>182</v>
      </c>
      <c r="AH34" s="5">
        <v>64115</v>
      </c>
    </row>
    <row r="35" spans="2:34" x14ac:dyDescent="0.3">
      <c r="B35" s="1" t="s">
        <v>229</v>
      </c>
      <c r="C35" s="1">
        <v>44956</v>
      </c>
      <c r="D35" s="1" t="s">
        <v>230</v>
      </c>
      <c r="E35" s="1" t="s">
        <v>166</v>
      </c>
      <c r="F35" s="1" t="s">
        <v>188</v>
      </c>
      <c r="G35" s="1" t="s">
        <v>212</v>
      </c>
      <c r="H35" s="1">
        <v>6</v>
      </c>
      <c r="I35" s="1">
        <v>265</v>
      </c>
      <c r="J35" s="1">
        <v>1590</v>
      </c>
      <c r="K35" s="1" t="s">
        <v>155</v>
      </c>
      <c r="M35" s="1">
        <f t="shared" si="0"/>
        <v>265</v>
      </c>
      <c r="Q35" s="1">
        <f t="shared" si="1"/>
        <v>1590</v>
      </c>
      <c r="Z35" s="1" t="str">
        <f t="shared" si="2"/>
        <v>Small Order</v>
      </c>
      <c r="AG35" s="4" t="s">
        <v>174</v>
      </c>
      <c r="AH35" s="5">
        <v>158849</v>
      </c>
    </row>
    <row r="36" spans="2:34" x14ac:dyDescent="0.3">
      <c r="B36" s="1" t="s">
        <v>231</v>
      </c>
      <c r="C36" s="1">
        <v>44957</v>
      </c>
      <c r="D36" s="1" t="s">
        <v>232</v>
      </c>
      <c r="E36" s="1" t="s">
        <v>166</v>
      </c>
      <c r="F36" s="1" t="s">
        <v>162</v>
      </c>
      <c r="G36" s="1" t="s">
        <v>179</v>
      </c>
      <c r="H36" s="1">
        <v>2</v>
      </c>
      <c r="I36" s="1">
        <v>114</v>
      </c>
      <c r="J36" s="1">
        <v>228</v>
      </c>
      <c r="K36" s="1" t="s">
        <v>174</v>
      </c>
      <c r="M36" s="1">
        <f t="shared" si="0"/>
        <v>114</v>
      </c>
      <c r="Q36" s="1">
        <f t="shared" si="1"/>
        <v>228</v>
      </c>
      <c r="Z36" s="1" t="str">
        <f t="shared" si="2"/>
        <v>Small Order</v>
      </c>
      <c r="AG36" s="4" t="s">
        <v>136</v>
      </c>
      <c r="AH36" s="5">
        <v>534928</v>
      </c>
    </row>
    <row r="37" spans="2:34" x14ac:dyDescent="0.3">
      <c r="B37" s="1" t="s">
        <v>233</v>
      </c>
      <c r="C37" s="1">
        <v>44958</v>
      </c>
      <c r="D37" s="1" t="s">
        <v>234</v>
      </c>
      <c r="E37" s="1" t="s">
        <v>166</v>
      </c>
      <c r="F37" s="1" t="s">
        <v>162</v>
      </c>
      <c r="G37" s="1" t="s">
        <v>168</v>
      </c>
      <c r="H37" s="1">
        <v>3</v>
      </c>
      <c r="I37" s="1">
        <v>725</v>
      </c>
      <c r="J37" s="1">
        <v>2175</v>
      </c>
      <c r="K37" s="1" t="s">
        <v>174</v>
      </c>
      <c r="M37" s="1">
        <f t="shared" si="0"/>
        <v>725</v>
      </c>
      <c r="Q37" s="1">
        <f t="shared" si="1"/>
        <v>2175</v>
      </c>
      <c r="Z37" s="1" t="str">
        <f t="shared" si="2"/>
        <v>Small Order</v>
      </c>
    </row>
    <row r="38" spans="2:34" x14ac:dyDescent="0.3">
      <c r="B38" s="1" t="s">
        <v>235</v>
      </c>
      <c r="C38" s="1">
        <v>44959</v>
      </c>
      <c r="D38" s="1" t="s">
        <v>236</v>
      </c>
      <c r="E38" s="1" t="s">
        <v>172</v>
      </c>
      <c r="F38" s="1" t="s">
        <v>188</v>
      </c>
      <c r="G38" s="1" t="s">
        <v>168</v>
      </c>
      <c r="H38" s="1">
        <v>9</v>
      </c>
      <c r="I38" s="1">
        <v>740</v>
      </c>
      <c r="J38" s="1">
        <v>6660</v>
      </c>
      <c r="K38" s="1" t="s">
        <v>182</v>
      </c>
      <c r="M38" s="1">
        <f t="shared" si="0"/>
        <v>740</v>
      </c>
      <c r="Q38" s="1">
        <f t="shared" si="1"/>
        <v>6660</v>
      </c>
      <c r="Z38" s="1" t="str">
        <f t="shared" si="2"/>
        <v>Small Order</v>
      </c>
    </row>
    <row r="39" spans="2:34" x14ac:dyDescent="0.3">
      <c r="B39" s="1" t="s">
        <v>237</v>
      </c>
      <c r="C39" s="1">
        <v>44960</v>
      </c>
      <c r="D39" s="1" t="s">
        <v>238</v>
      </c>
      <c r="E39" s="1" t="s">
        <v>172</v>
      </c>
      <c r="F39" s="1" t="s">
        <v>153</v>
      </c>
      <c r="G39" s="1" t="s">
        <v>173</v>
      </c>
      <c r="H39" s="1">
        <v>6</v>
      </c>
      <c r="I39" s="1">
        <v>580</v>
      </c>
      <c r="J39" s="1">
        <v>3480</v>
      </c>
      <c r="K39" s="1" t="s">
        <v>155</v>
      </c>
      <c r="M39" s="1">
        <f t="shared" si="0"/>
        <v>580</v>
      </c>
      <c r="Q39" s="1">
        <f t="shared" si="1"/>
        <v>3480</v>
      </c>
      <c r="Z39" s="1" t="str">
        <f t="shared" si="2"/>
        <v>Small Order</v>
      </c>
    </row>
    <row r="40" spans="2:34" x14ac:dyDescent="0.3">
      <c r="B40" s="1" t="s">
        <v>239</v>
      </c>
      <c r="C40" s="1">
        <v>44961</v>
      </c>
      <c r="D40" s="1" t="s">
        <v>240</v>
      </c>
      <c r="E40" s="1" t="s">
        <v>172</v>
      </c>
      <c r="F40" s="1" t="s">
        <v>188</v>
      </c>
      <c r="G40" s="1" t="s">
        <v>163</v>
      </c>
      <c r="H40" s="1">
        <v>1</v>
      </c>
      <c r="I40" s="1">
        <v>1766</v>
      </c>
      <c r="J40" s="1">
        <v>1766</v>
      </c>
      <c r="K40" s="1" t="s">
        <v>158</v>
      </c>
      <c r="M40" s="1">
        <f t="shared" si="0"/>
        <v>1766</v>
      </c>
      <c r="Q40" s="1">
        <f t="shared" si="1"/>
        <v>1766</v>
      </c>
      <c r="Z40" s="1" t="str">
        <f t="shared" si="2"/>
        <v>Small Order</v>
      </c>
    </row>
    <row r="41" spans="2:34" x14ac:dyDescent="0.3">
      <c r="B41" s="1" t="s">
        <v>241</v>
      </c>
      <c r="C41" s="1">
        <v>44962</v>
      </c>
      <c r="D41" s="1" t="s">
        <v>242</v>
      </c>
      <c r="E41" s="1" t="s">
        <v>172</v>
      </c>
      <c r="F41" s="1" t="s">
        <v>167</v>
      </c>
      <c r="G41" s="1" t="s">
        <v>185</v>
      </c>
      <c r="H41" s="1">
        <v>4</v>
      </c>
      <c r="I41" s="1">
        <v>1161</v>
      </c>
      <c r="J41" s="1">
        <v>4644</v>
      </c>
      <c r="K41" s="1" t="s">
        <v>158</v>
      </c>
      <c r="M41" s="1">
        <f t="shared" si="0"/>
        <v>1161</v>
      </c>
      <c r="Q41" s="1">
        <f t="shared" si="1"/>
        <v>4644</v>
      </c>
      <c r="Z41" s="1" t="str">
        <f t="shared" si="2"/>
        <v>Small Order</v>
      </c>
    </row>
    <row r="42" spans="2:34" x14ac:dyDescent="0.3">
      <c r="B42" s="1" t="s">
        <v>243</v>
      </c>
      <c r="C42" s="1">
        <v>44963</v>
      </c>
      <c r="D42" s="1" t="s">
        <v>244</v>
      </c>
      <c r="E42" s="1" t="s">
        <v>172</v>
      </c>
      <c r="F42" s="1" t="s">
        <v>167</v>
      </c>
      <c r="G42" s="1" t="s">
        <v>163</v>
      </c>
      <c r="H42" s="1">
        <v>4</v>
      </c>
      <c r="I42" s="1">
        <v>1043</v>
      </c>
      <c r="J42" s="1">
        <v>4172</v>
      </c>
      <c r="K42" s="1" t="s">
        <v>169</v>
      </c>
      <c r="M42" s="1">
        <f t="shared" si="0"/>
        <v>1043</v>
      </c>
      <c r="Q42" s="1">
        <f t="shared" si="1"/>
        <v>4172</v>
      </c>
      <c r="Z42" s="1" t="str">
        <f t="shared" si="2"/>
        <v>Small Order</v>
      </c>
    </row>
    <row r="43" spans="2:34" x14ac:dyDescent="0.3">
      <c r="B43" s="1" t="s">
        <v>245</v>
      </c>
      <c r="C43" s="1">
        <v>44964</v>
      </c>
      <c r="D43" s="1" t="s">
        <v>246</v>
      </c>
      <c r="E43" s="1" t="s">
        <v>166</v>
      </c>
      <c r="F43" s="1" t="s">
        <v>162</v>
      </c>
      <c r="G43" s="1" t="s">
        <v>191</v>
      </c>
      <c r="H43" s="1">
        <v>4</v>
      </c>
      <c r="I43" s="1">
        <v>1186</v>
      </c>
      <c r="J43" s="1">
        <v>4744</v>
      </c>
      <c r="K43" s="1" t="s">
        <v>158</v>
      </c>
      <c r="M43" s="1">
        <f t="shared" si="0"/>
        <v>1186</v>
      </c>
      <c r="Q43" s="1">
        <f t="shared" si="1"/>
        <v>4744</v>
      </c>
      <c r="Z43" s="1" t="str">
        <f t="shared" si="2"/>
        <v>Small Order</v>
      </c>
    </row>
    <row r="44" spans="2:34" x14ac:dyDescent="0.3">
      <c r="B44" s="1" t="s">
        <v>247</v>
      </c>
      <c r="C44" s="1">
        <v>44965</v>
      </c>
      <c r="D44" s="1" t="s">
        <v>248</v>
      </c>
      <c r="E44" s="1" t="s">
        <v>166</v>
      </c>
      <c r="F44" s="1" t="s">
        <v>153</v>
      </c>
      <c r="G44" s="1" t="s">
        <v>191</v>
      </c>
      <c r="H44" s="1">
        <v>2</v>
      </c>
      <c r="I44" s="1">
        <v>545</v>
      </c>
      <c r="J44" s="1">
        <v>1090</v>
      </c>
      <c r="K44" s="1" t="s">
        <v>182</v>
      </c>
      <c r="M44" s="1">
        <f t="shared" si="0"/>
        <v>545</v>
      </c>
      <c r="Q44" s="1">
        <f t="shared" si="1"/>
        <v>1090</v>
      </c>
      <c r="Z44" s="1" t="str">
        <f t="shared" si="2"/>
        <v>Small Order</v>
      </c>
    </row>
    <row r="45" spans="2:34" x14ac:dyDescent="0.3">
      <c r="B45" s="1" t="s">
        <v>249</v>
      </c>
      <c r="C45" s="1">
        <v>44966</v>
      </c>
      <c r="D45" s="1" t="s">
        <v>250</v>
      </c>
      <c r="E45" s="1" t="s">
        <v>172</v>
      </c>
      <c r="F45" s="1" t="s">
        <v>188</v>
      </c>
      <c r="G45" s="1" t="s">
        <v>191</v>
      </c>
      <c r="H45" s="1">
        <v>8</v>
      </c>
      <c r="I45" s="1">
        <v>626</v>
      </c>
      <c r="J45" s="1">
        <v>5008</v>
      </c>
      <c r="K45" s="1" t="s">
        <v>158</v>
      </c>
      <c r="M45" s="1">
        <f t="shared" si="0"/>
        <v>626</v>
      </c>
      <c r="Q45" s="1">
        <f t="shared" si="1"/>
        <v>5008</v>
      </c>
      <c r="Z45" s="1" t="str">
        <f t="shared" si="2"/>
        <v>Small Order</v>
      </c>
    </row>
    <row r="46" spans="2:34" x14ac:dyDescent="0.3">
      <c r="B46" s="1" t="s">
        <v>251</v>
      </c>
      <c r="C46" s="1">
        <v>44967</v>
      </c>
      <c r="D46" s="1" t="s">
        <v>252</v>
      </c>
      <c r="E46" s="1" t="s">
        <v>166</v>
      </c>
      <c r="F46" s="1" t="s">
        <v>153</v>
      </c>
      <c r="G46" s="1" t="s">
        <v>179</v>
      </c>
      <c r="H46" s="1">
        <v>7</v>
      </c>
      <c r="I46" s="1">
        <v>1185</v>
      </c>
      <c r="J46" s="1">
        <v>8295</v>
      </c>
      <c r="K46" s="1" t="s">
        <v>158</v>
      </c>
      <c r="M46" s="1">
        <f t="shared" si="0"/>
        <v>1185</v>
      </c>
      <c r="Q46" s="1">
        <f t="shared" si="1"/>
        <v>8295</v>
      </c>
      <c r="Z46" s="1" t="str">
        <f t="shared" si="2"/>
        <v>Small Order</v>
      </c>
    </row>
    <row r="47" spans="2:34" x14ac:dyDescent="0.3">
      <c r="B47" s="1" t="s">
        <v>253</v>
      </c>
      <c r="C47" s="1">
        <v>44968</v>
      </c>
      <c r="D47" s="1" t="s">
        <v>254</v>
      </c>
      <c r="E47" s="1" t="s">
        <v>172</v>
      </c>
      <c r="F47" s="1" t="s">
        <v>153</v>
      </c>
      <c r="G47" s="1" t="s">
        <v>191</v>
      </c>
      <c r="H47" s="1">
        <v>4</v>
      </c>
      <c r="I47" s="1">
        <v>992</v>
      </c>
      <c r="J47" s="1">
        <v>3968</v>
      </c>
      <c r="K47" s="1" t="s">
        <v>182</v>
      </c>
      <c r="M47" s="1">
        <f t="shared" si="0"/>
        <v>992</v>
      </c>
      <c r="Q47" s="1">
        <f t="shared" si="1"/>
        <v>3968</v>
      </c>
      <c r="Z47" s="1" t="str">
        <f t="shared" si="2"/>
        <v>Small Order</v>
      </c>
    </row>
    <row r="48" spans="2:34" x14ac:dyDescent="0.3">
      <c r="B48" s="1" t="s">
        <v>255</v>
      </c>
      <c r="C48" s="1">
        <v>44969</v>
      </c>
      <c r="D48" s="1" t="s">
        <v>256</v>
      </c>
      <c r="E48" s="1" t="s">
        <v>166</v>
      </c>
      <c r="F48" s="1" t="s">
        <v>162</v>
      </c>
      <c r="G48" s="1" t="s">
        <v>191</v>
      </c>
      <c r="H48" s="1">
        <v>2</v>
      </c>
      <c r="I48" s="1">
        <v>461</v>
      </c>
      <c r="J48" s="1">
        <v>922</v>
      </c>
      <c r="K48" s="1" t="s">
        <v>174</v>
      </c>
      <c r="M48" s="1">
        <f t="shared" si="0"/>
        <v>461</v>
      </c>
      <c r="Q48" s="1">
        <f t="shared" si="1"/>
        <v>922</v>
      </c>
      <c r="Z48" s="1" t="str">
        <f t="shared" si="2"/>
        <v>Small Order</v>
      </c>
    </row>
    <row r="49" spans="2:26" x14ac:dyDescent="0.3">
      <c r="B49" s="1" t="s">
        <v>257</v>
      </c>
      <c r="C49" s="1">
        <v>44970</v>
      </c>
      <c r="D49" s="1" t="s">
        <v>258</v>
      </c>
      <c r="E49" s="1" t="s">
        <v>161</v>
      </c>
      <c r="F49" s="1" t="s">
        <v>153</v>
      </c>
      <c r="G49" s="1" t="s">
        <v>212</v>
      </c>
      <c r="H49" s="1">
        <v>8</v>
      </c>
      <c r="I49" s="1">
        <v>1205</v>
      </c>
      <c r="J49" s="1">
        <v>9640</v>
      </c>
      <c r="K49" s="1" t="s">
        <v>155</v>
      </c>
      <c r="M49" s="1">
        <f t="shared" si="0"/>
        <v>1205</v>
      </c>
      <c r="Q49" s="1">
        <f t="shared" si="1"/>
        <v>9640</v>
      </c>
      <c r="Z49" s="1" t="str">
        <f t="shared" si="2"/>
        <v>Small Order</v>
      </c>
    </row>
    <row r="50" spans="2:26" x14ac:dyDescent="0.3">
      <c r="B50" s="1" t="s">
        <v>259</v>
      </c>
      <c r="C50" s="1">
        <v>44971</v>
      </c>
      <c r="D50" s="1" t="s">
        <v>260</v>
      </c>
      <c r="E50" s="1" t="s">
        <v>166</v>
      </c>
      <c r="F50" s="1" t="s">
        <v>162</v>
      </c>
      <c r="G50" s="1" t="s">
        <v>168</v>
      </c>
      <c r="H50" s="1">
        <v>3</v>
      </c>
      <c r="I50" s="1">
        <v>649</v>
      </c>
      <c r="J50" s="1">
        <v>1947</v>
      </c>
      <c r="K50" s="1" t="s">
        <v>182</v>
      </c>
      <c r="M50" s="1">
        <f t="shared" si="0"/>
        <v>649</v>
      </c>
      <c r="Q50" s="1">
        <f t="shared" si="1"/>
        <v>1947</v>
      </c>
      <c r="Z50" s="1" t="str">
        <f t="shared" si="2"/>
        <v>Small Order</v>
      </c>
    </row>
    <row r="51" spans="2:26" x14ac:dyDescent="0.3">
      <c r="B51" s="1" t="s">
        <v>261</v>
      </c>
      <c r="C51" s="1">
        <v>44972</v>
      </c>
      <c r="D51" s="1" t="s">
        <v>262</v>
      </c>
      <c r="E51" s="1" t="s">
        <v>161</v>
      </c>
      <c r="F51" s="1" t="s">
        <v>162</v>
      </c>
      <c r="G51" s="1" t="s">
        <v>179</v>
      </c>
      <c r="H51" s="1">
        <v>7</v>
      </c>
      <c r="I51" s="1">
        <v>322</v>
      </c>
      <c r="J51" s="1">
        <v>2254</v>
      </c>
      <c r="K51" s="1" t="s">
        <v>155</v>
      </c>
      <c r="M51" s="1">
        <f t="shared" si="0"/>
        <v>322</v>
      </c>
      <c r="Q51" s="1">
        <f t="shared" si="1"/>
        <v>2254</v>
      </c>
      <c r="Z51" s="1" t="str">
        <f t="shared" si="2"/>
        <v>Small Order</v>
      </c>
    </row>
    <row r="52" spans="2:26" x14ac:dyDescent="0.3">
      <c r="B52" s="1" t="s">
        <v>263</v>
      </c>
      <c r="C52" s="1">
        <v>44973</v>
      </c>
      <c r="D52" s="1" t="s">
        <v>264</v>
      </c>
      <c r="E52" s="1" t="s">
        <v>172</v>
      </c>
      <c r="F52" s="1" t="s">
        <v>167</v>
      </c>
      <c r="G52" s="1" t="s">
        <v>179</v>
      </c>
      <c r="H52" s="1">
        <v>6</v>
      </c>
      <c r="I52" s="1">
        <v>1527</v>
      </c>
      <c r="J52" s="1">
        <v>9162</v>
      </c>
      <c r="K52" s="1" t="s">
        <v>174</v>
      </c>
      <c r="M52" s="1">
        <f t="shared" si="0"/>
        <v>1527</v>
      </c>
      <c r="Q52" s="1">
        <f t="shared" si="1"/>
        <v>9162</v>
      </c>
      <c r="Z52" s="1" t="str">
        <f t="shared" si="2"/>
        <v>Small Order</v>
      </c>
    </row>
    <row r="53" spans="2:26" x14ac:dyDescent="0.3">
      <c r="B53" s="1" t="s">
        <v>265</v>
      </c>
      <c r="C53" s="1">
        <v>44974</v>
      </c>
      <c r="D53" s="1" t="s">
        <v>266</v>
      </c>
      <c r="E53" s="1" t="s">
        <v>152</v>
      </c>
      <c r="F53" s="1" t="s">
        <v>162</v>
      </c>
      <c r="G53" s="1" t="s">
        <v>168</v>
      </c>
      <c r="H53" s="1">
        <v>9</v>
      </c>
      <c r="I53" s="1">
        <v>542</v>
      </c>
      <c r="J53" s="1">
        <v>4878</v>
      </c>
      <c r="K53" s="1" t="s">
        <v>174</v>
      </c>
      <c r="M53" s="1">
        <f t="shared" si="0"/>
        <v>542</v>
      </c>
      <c r="Q53" s="1">
        <f t="shared" si="1"/>
        <v>4878</v>
      </c>
      <c r="Z53" s="1" t="str">
        <f t="shared" si="2"/>
        <v>Small Order</v>
      </c>
    </row>
    <row r="54" spans="2:26" x14ac:dyDescent="0.3">
      <c r="B54" s="1" t="s">
        <v>267</v>
      </c>
      <c r="C54" s="1">
        <v>44975</v>
      </c>
      <c r="D54" s="1" t="s">
        <v>268</v>
      </c>
      <c r="E54" s="1" t="s">
        <v>172</v>
      </c>
      <c r="F54" s="1" t="s">
        <v>167</v>
      </c>
      <c r="G54" s="1" t="s">
        <v>173</v>
      </c>
      <c r="H54" s="1">
        <v>5</v>
      </c>
      <c r="I54" s="1">
        <v>1130</v>
      </c>
      <c r="J54" s="1">
        <v>5650</v>
      </c>
      <c r="K54" s="1" t="s">
        <v>158</v>
      </c>
      <c r="M54" s="1">
        <f t="shared" si="0"/>
        <v>1130</v>
      </c>
      <c r="Q54" s="1">
        <f t="shared" si="1"/>
        <v>5650</v>
      </c>
      <c r="Z54" s="1" t="str">
        <f t="shared" si="2"/>
        <v>Small Order</v>
      </c>
    </row>
    <row r="55" spans="2:26" x14ac:dyDescent="0.3">
      <c r="B55" s="1" t="s">
        <v>269</v>
      </c>
      <c r="C55" s="1">
        <v>44976</v>
      </c>
      <c r="D55" s="1" t="s">
        <v>270</v>
      </c>
      <c r="E55" s="1" t="s">
        <v>172</v>
      </c>
      <c r="F55" s="1" t="s">
        <v>153</v>
      </c>
      <c r="G55" s="1" t="s">
        <v>179</v>
      </c>
      <c r="H55" s="1">
        <v>8</v>
      </c>
      <c r="I55" s="1">
        <v>1992</v>
      </c>
      <c r="J55" s="1">
        <v>15936</v>
      </c>
      <c r="K55" s="1" t="s">
        <v>158</v>
      </c>
      <c r="M55" s="1">
        <f t="shared" si="0"/>
        <v>1992</v>
      </c>
      <c r="Q55" s="1">
        <f t="shared" si="1"/>
        <v>15936</v>
      </c>
      <c r="Z55" s="1" t="str">
        <f t="shared" si="2"/>
        <v>Big Order</v>
      </c>
    </row>
    <row r="56" spans="2:26" x14ac:dyDescent="0.3">
      <c r="B56" s="1" t="s">
        <v>271</v>
      </c>
      <c r="C56" s="1">
        <v>44977</v>
      </c>
      <c r="D56" s="1" t="s">
        <v>272</v>
      </c>
      <c r="E56" s="1" t="s">
        <v>152</v>
      </c>
      <c r="F56" s="1" t="s">
        <v>188</v>
      </c>
      <c r="G56" s="1" t="s">
        <v>179</v>
      </c>
      <c r="H56" s="1">
        <v>9</v>
      </c>
      <c r="I56" s="1">
        <v>1707</v>
      </c>
      <c r="J56" s="1">
        <v>15363</v>
      </c>
      <c r="K56" s="1" t="s">
        <v>182</v>
      </c>
      <c r="M56" s="1">
        <f t="shared" si="0"/>
        <v>1707</v>
      </c>
      <c r="Q56" s="1">
        <f t="shared" si="1"/>
        <v>15363</v>
      </c>
      <c r="Z56" s="1" t="str">
        <f t="shared" si="2"/>
        <v>Big Order</v>
      </c>
    </row>
    <row r="57" spans="2:26" x14ac:dyDescent="0.3">
      <c r="B57" s="1" t="s">
        <v>273</v>
      </c>
      <c r="C57" s="1">
        <v>44978</v>
      </c>
      <c r="D57" s="1" t="s">
        <v>274</v>
      </c>
      <c r="E57" s="1" t="s">
        <v>172</v>
      </c>
      <c r="F57" s="1" t="s">
        <v>162</v>
      </c>
      <c r="G57" s="1" t="s">
        <v>191</v>
      </c>
      <c r="H57" s="1">
        <v>6</v>
      </c>
      <c r="I57" s="1">
        <v>945</v>
      </c>
      <c r="J57" s="1">
        <v>5670</v>
      </c>
      <c r="K57" s="1" t="s">
        <v>155</v>
      </c>
      <c r="M57" s="1">
        <f t="shared" si="0"/>
        <v>945</v>
      </c>
      <c r="Q57" s="1">
        <f t="shared" si="1"/>
        <v>5670</v>
      </c>
      <c r="Z57" s="1" t="str">
        <f t="shared" si="2"/>
        <v>Small Order</v>
      </c>
    </row>
    <row r="58" spans="2:26" x14ac:dyDescent="0.3">
      <c r="B58" s="1" t="s">
        <v>275</v>
      </c>
      <c r="C58" s="1">
        <v>44979</v>
      </c>
      <c r="D58" s="1" t="s">
        <v>276</v>
      </c>
      <c r="E58" s="1" t="s">
        <v>172</v>
      </c>
      <c r="F58" s="1" t="s">
        <v>167</v>
      </c>
      <c r="G58" s="1" t="s">
        <v>168</v>
      </c>
      <c r="H58" s="1">
        <v>3</v>
      </c>
      <c r="I58" s="1">
        <v>341</v>
      </c>
      <c r="J58" s="1">
        <v>1023</v>
      </c>
      <c r="K58" s="1" t="s">
        <v>174</v>
      </c>
      <c r="M58" s="1">
        <f t="shared" si="0"/>
        <v>341</v>
      </c>
      <c r="Q58" s="1">
        <f t="shared" si="1"/>
        <v>1023</v>
      </c>
      <c r="Z58" s="1" t="str">
        <f t="shared" si="2"/>
        <v>Small Order</v>
      </c>
    </row>
    <row r="59" spans="2:26" x14ac:dyDescent="0.3">
      <c r="B59" s="1" t="s">
        <v>277</v>
      </c>
      <c r="C59" s="1">
        <v>44980</v>
      </c>
      <c r="D59" s="1" t="s">
        <v>278</v>
      </c>
      <c r="E59" s="1" t="s">
        <v>161</v>
      </c>
      <c r="F59" s="1" t="s">
        <v>188</v>
      </c>
      <c r="G59" s="1" t="s">
        <v>154</v>
      </c>
      <c r="H59" s="1">
        <v>5</v>
      </c>
      <c r="I59" s="1">
        <v>1970</v>
      </c>
      <c r="J59" s="1">
        <v>9850</v>
      </c>
      <c r="K59" s="1" t="s">
        <v>174</v>
      </c>
      <c r="M59" s="1">
        <f t="shared" si="0"/>
        <v>1970</v>
      </c>
      <c r="Q59" s="1">
        <f t="shared" si="1"/>
        <v>9850</v>
      </c>
      <c r="Z59" s="1" t="str">
        <f t="shared" si="2"/>
        <v>Small Order</v>
      </c>
    </row>
    <row r="60" spans="2:26" x14ac:dyDescent="0.3">
      <c r="B60" s="1" t="s">
        <v>279</v>
      </c>
      <c r="C60" s="1">
        <v>44981</v>
      </c>
      <c r="D60" s="1" t="s">
        <v>280</v>
      </c>
      <c r="E60" s="1" t="s">
        <v>152</v>
      </c>
      <c r="F60" s="1" t="s">
        <v>153</v>
      </c>
      <c r="G60" s="1" t="s">
        <v>163</v>
      </c>
      <c r="H60" s="1">
        <v>4</v>
      </c>
      <c r="I60" s="1">
        <v>1348</v>
      </c>
      <c r="J60" s="1">
        <v>5392</v>
      </c>
      <c r="K60" s="1" t="s">
        <v>155</v>
      </c>
      <c r="M60" s="1">
        <f t="shared" si="0"/>
        <v>1348</v>
      </c>
      <c r="Q60" s="1">
        <f t="shared" si="1"/>
        <v>5392</v>
      </c>
      <c r="Z60" s="1" t="str">
        <f t="shared" si="2"/>
        <v>Small Order</v>
      </c>
    </row>
    <row r="61" spans="2:26" x14ac:dyDescent="0.3">
      <c r="B61" s="1" t="s">
        <v>281</v>
      </c>
      <c r="C61" s="1">
        <v>44982</v>
      </c>
      <c r="D61" s="1" t="s">
        <v>282</v>
      </c>
      <c r="E61" s="1" t="s">
        <v>152</v>
      </c>
      <c r="F61" s="1" t="s">
        <v>162</v>
      </c>
      <c r="G61" s="1" t="s">
        <v>154</v>
      </c>
      <c r="H61" s="1">
        <v>4</v>
      </c>
      <c r="I61" s="1">
        <v>663</v>
      </c>
      <c r="J61" s="1">
        <v>2652</v>
      </c>
      <c r="K61" s="1" t="s">
        <v>174</v>
      </c>
      <c r="M61" s="1">
        <f t="shared" si="0"/>
        <v>663</v>
      </c>
      <c r="Q61" s="1">
        <f t="shared" si="1"/>
        <v>2652</v>
      </c>
      <c r="Z61" s="1" t="str">
        <f t="shared" si="2"/>
        <v>Small Order</v>
      </c>
    </row>
    <row r="62" spans="2:26" x14ac:dyDescent="0.3">
      <c r="B62" s="1" t="s">
        <v>283</v>
      </c>
      <c r="C62" s="1">
        <v>44983</v>
      </c>
      <c r="D62" s="1" t="s">
        <v>284</v>
      </c>
      <c r="E62" s="1" t="s">
        <v>172</v>
      </c>
      <c r="F62" s="1" t="s">
        <v>167</v>
      </c>
      <c r="G62" s="1" t="s">
        <v>212</v>
      </c>
      <c r="H62" s="1">
        <v>2</v>
      </c>
      <c r="I62" s="1">
        <v>1989</v>
      </c>
      <c r="J62" s="1">
        <v>3978</v>
      </c>
      <c r="K62" s="1" t="s">
        <v>158</v>
      </c>
      <c r="M62" s="1">
        <f t="shared" si="0"/>
        <v>1989</v>
      </c>
      <c r="Q62" s="1">
        <f t="shared" si="1"/>
        <v>3978</v>
      </c>
      <c r="Z62" s="1" t="str">
        <f t="shared" si="2"/>
        <v>Small Order</v>
      </c>
    </row>
    <row r="63" spans="2:26" x14ac:dyDescent="0.3">
      <c r="B63" s="1" t="s">
        <v>285</v>
      </c>
      <c r="C63" s="1">
        <v>44984</v>
      </c>
      <c r="D63" s="1" t="s">
        <v>286</v>
      </c>
      <c r="E63" s="1" t="s">
        <v>161</v>
      </c>
      <c r="F63" s="1" t="s">
        <v>153</v>
      </c>
      <c r="G63" s="1" t="s">
        <v>154</v>
      </c>
      <c r="H63" s="1">
        <v>8</v>
      </c>
      <c r="I63" s="1">
        <v>1383</v>
      </c>
      <c r="J63" s="1">
        <v>11064</v>
      </c>
      <c r="K63" s="1" t="s">
        <v>169</v>
      </c>
      <c r="M63" s="1">
        <f t="shared" si="0"/>
        <v>1383</v>
      </c>
      <c r="Q63" s="1">
        <f t="shared" si="1"/>
        <v>11064</v>
      </c>
      <c r="Z63" s="1" t="str">
        <f t="shared" si="2"/>
        <v>Big Order</v>
      </c>
    </row>
    <row r="64" spans="2:26" x14ac:dyDescent="0.3">
      <c r="B64" s="1" t="s">
        <v>287</v>
      </c>
      <c r="C64" s="1">
        <v>44985</v>
      </c>
      <c r="D64" s="1" t="s">
        <v>288</v>
      </c>
      <c r="E64" s="1" t="s">
        <v>161</v>
      </c>
      <c r="F64" s="1" t="s">
        <v>162</v>
      </c>
      <c r="G64" s="1" t="s">
        <v>173</v>
      </c>
      <c r="H64" s="1">
        <v>9</v>
      </c>
      <c r="I64" s="1">
        <v>1252</v>
      </c>
      <c r="J64" s="1">
        <v>11268</v>
      </c>
      <c r="K64" s="1" t="s">
        <v>158</v>
      </c>
      <c r="M64" s="1">
        <f t="shared" si="0"/>
        <v>1252</v>
      </c>
      <c r="Q64" s="1">
        <f t="shared" si="1"/>
        <v>11268</v>
      </c>
      <c r="Z64" s="1" t="str">
        <f t="shared" si="2"/>
        <v>Big Order</v>
      </c>
    </row>
    <row r="65" spans="2:26" x14ac:dyDescent="0.3">
      <c r="B65" s="1" t="s">
        <v>289</v>
      </c>
      <c r="C65" s="1">
        <v>44986</v>
      </c>
      <c r="D65" s="1" t="s">
        <v>290</v>
      </c>
      <c r="E65" s="1" t="s">
        <v>172</v>
      </c>
      <c r="F65" s="1" t="s">
        <v>153</v>
      </c>
      <c r="G65" s="1" t="s">
        <v>191</v>
      </c>
      <c r="H65" s="1">
        <v>6</v>
      </c>
      <c r="I65" s="1">
        <v>1228</v>
      </c>
      <c r="J65" s="1">
        <v>7368</v>
      </c>
      <c r="K65" s="1" t="s">
        <v>182</v>
      </c>
      <c r="M65" s="1">
        <f t="shared" si="0"/>
        <v>1228</v>
      </c>
      <c r="Q65" s="1">
        <f t="shared" si="1"/>
        <v>7368</v>
      </c>
      <c r="Z65" s="1" t="str">
        <f t="shared" si="2"/>
        <v>Small Order</v>
      </c>
    </row>
    <row r="66" spans="2:26" x14ac:dyDescent="0.3">
      <c r="B66" s="1" t="s">
        <v>291</v>
      </c>
      <c r="C66" s="1">
        <v>44987</v>
      </c>
      <c r="D66" s="1" t="s">
        <v>292</v>
      </c>
      <c r="E66" s="1" t="s">
        <v>166</v>
      </c>
      <c r="F66" s="1" t="s">
        <v>162</v>
      </c>
      <c r="G66" s="1" t="s">
        <v>179</v>
      </c>
      <c r="H66" s="1">
        <v>8</v>
      </c>
      <c r="I66" s="1">
        <v>1762</v>
      </c>
      <c r="J66" s="1">
        <v>14096</v>
      </c>
      <c r="K66" s="1" t="s">
        <v>174</v>
      </c>
      <c r="M66" s="1">
        <f t="shared" si="0"/>
        <v>1762</v>
      </c>
      <c r="Q66" s="1">
        <f t="shared" si="1"/>
        <v>14096</v>
      </c>
      <c r="Z66" s="1" t="str">
        <f t="shared" si="2"/>
        <v>Big Order</v>
      </c>
    </row>
    <row r="67" spans="2:26" x14ac:dyDescent="0.3">
      <c r="B67" s="1" t="s">
        <v>293</v>
      </c>
      <c r="C67" s="1">
        <v>44988</v>
      </c>
      <c r="D67" s="1" t="s">
        <v>294</v>
      </c>
      <c r="E67" s="1" t="s">
        <v>166</v>
      </c>
      <c r="F67" s="1" t="s">
        <v>167</v>
      </c>
      <c r="G67" s="1" t="s">
        <v>173</v>
      </c>
      <c r="H67" s="1">
        <v>8</v>
      </c>
      <c r="I67" s="1">
        <v>1250</v>
      </c>
      <c r="J67" s="1">
        <v>10000</v>
      </c>
      <c r="K67" s="1" t="s">
        <v>169</v>
      </c>
      <c r="M67" s="1">
        <f t="shared" si="0"/>
        <v>1250</v>
      </c>
      <c r="Q67" s="1">
        <f t="shared" si="1"/>
        <v>10000</v>
      </c>
      <c r="Z67" s="1" t="str">
        <f t="shared" si="2"/>
        <v>Small Order</v>
      </c>
    </row>
    <row r="68" spans="2:26" x14ac:dyDescent="0.3">
      <c r="B68" s="1" t="s">
        <v>295</v>
      </c>
      <c r="C68" s="1">
        <v>44989</v>
      </c>
      <c r="D68" s="1" t="s">
        <v>296</v>
      </c>
      <c r="E68" s="1" t="s">
        <v>152</v>
      </c>
      <c r="F68" s="1" t="s">
        <v>153</v>
      </c>
      <c r="G68" s="1" t="s">
        <v>163</v>
      </c>
      <c r="H68" s="1">
        <v>8</v>
      </c>
      <c r="I68" s="1">
        <v>433</v>
      </c>
      <c r="J68" s="1">
        <v>3464</v>
      </c>
      <c r="K68" s="1" t="s">
        <v>155</v>
      </c>
      <c r="M68" s="1">
        <f t="shared" si="0"/>
        <v>433</v>
      </c>
      <c r="Q68" s="1">
        <f t="shared" si="1"/>
        <v>3464</v>
      </c>
      <c r="Z68" s="1" t="str">
        <f t="shared" si="2"/>
        <v>Small Order</v>
      </c>
    </row>
    <row r="69" spans="2:26" x14ac:dyDescent="0.3">
      <c r="B69" s="1" t="s">
        <v>297</v>
      </c>
      <c r="C69" s="1">
        <v>44990</v>
      </c>
      <c r="D69" s="1" t="s">
        <v>298</v>
      </c>
      <c r="E69" s="1" t="s">
        <v>166</v>
      </c>
      <c r="F69" s="1" t="s">
        <v>167</v>
      </c>
      <c r="G69" s="1" t="s">
        <v>185</v>
      </c>
      <c r="H69" s="1">
        <v>6</v>
      </c>
      <c r="I69" s="1">
        <v>706</v>
      </c>
      <c r="J69" s="1">
        <v>4236</v>
      </c>
      <c r="K69" s="1" t="s">
        <v>169</v>
      </c>
      <c r="M69" s="1">
        <f t="shared" si="0"/>
        <v>706</v>
      </c>
      <c r="Q69" s="1">
        <f t="shared" si="1"/>
        <v>4236</v>
      </c>
      <c r="Z69" s="1" t="str">
        <f t="shared" si="2"/>
        <v>Small Order</v>
      </c>
    </row>
    <row r="70" spans="2:26" x14ac:dyDescent="0.3">
      <c r="B70" s="1" t="s">
        <v>299</v>
      </c>
      <c r="C70" s="1">
        <v>44991</v>
      </c>
      <c r="D70" s="1" t="s">
        <v>300</v>
      </c>
      <c r="E70" s="1" t="s">
        <v>161</v>
      </c>
      <c r="F70" s="1" t="s">
        <v>188</v>
      </c>
      <c r="G70" s="1" t="s">
        <v>191</v>
      </c>
      <c r="H70" s="1">
        <v>1</v>
      </c>
      <c r="I70" s="1">
        <v>265</v>
      </c>
      <c r="J70" s="1">
        <v>265</v>
      </c>
      <c r="K70" s="1" t="s">
        <v>182</v>
      </c>
      <c r="M70" s="1">
        <f t="shared" si="0"/>
        <v>265</v>
      </c>
      <c r="Q70" s="1">
        <f t="shared" si="1"/>
        <v>265</v>
      </c>
      <c r="Z70" s="1" t="str">
        <f t="shared" si="2"/>
        <v>Small Order</v>
      </c>
    </row>
    <row r="71" spans="2:26" x14ac:dyDescent="0.3">
      <c r="B71" s="1" t="s">
        <v>301</v>
      </c>
      <c r="C71" s="1">
        <v>44992</v>
      </c>
      <c r="D71" s="1" t="s">
        <v>302</v>
      </c>
      <c r="E71" s="1" t="s">
        <v>161</v>
      </c>
      <c r="F71" s="1" t="s">
        <v>162</v>
      </c>
      <c r="G71" s="1" t="s">
        <v>168</v>
      </c>
      <c r="H71" s="1">
        <v>1</v>
      </c>
      <c r="I71" s="1">
        <v>1749</v>
      </c>
      <c r="J71" s="1">
        <v>1749</v>
      </c>
      <c r="K71" s="1" t="s">
        <v>182</v>
      </c>
      <c r="M71" s="1">
        <f t="shared" ref="M71:M87" si="4">VLOOKUP(G71,G71:I170,3,FALSE)</f>
        <v>1749</v>
      </c>
      <c r="Q71" s="1">
        <f t="shared" ref="Q71:Q105" si="5">_xlfn.XLOOKUP(B71,B71:B170,J71:J170)</f>
        <v>1749</v>
      </c>
      <c r="Z71" s="1" t="str">
        <f t="shared" ref="Z71:Z105" si="6">IF(J71&gt;10000,"Big Order","Small Order")</f>
        <v>Small Order</v>
      </c>
    </row>
    <row r="72" spans="2:26" x14ac:dyDescent="0.3">
      <c r="B72" s="1" t="s">
        <v>303</v>
      </c>
      <c r="C72" s="1">
        <v>44993</v>
      </c>
      <c r="D72" s="1" t="s">
        <v>304</v>
      </c>
      <c r="E72" s="1" t="s">
        <v>166</v>
      </c>
      <c r="F72" s="1" t="s">
        <v>153</v>
      </c>
      <c r="G72" s="1" t="s">
        <v>191</v>
      </c>
      <c r="H72" s="1">
        <v>9</v>
      </c>
      <c r="I72" s="1">
        <v>1688</v>
      </c>
      <c r="J72" s="1">
        <v>15192</v>
      </c>
      <c r="K72" s="1" t="s">
        <v>169</v>
      </c>
      <c r="M72" s="1">
        <f t="shared" si="4"/>
        <v>1688</v>
      </c>
      <c r="Q72" s="1">
        <f t="shared" si="5"/>
        <v>15192</v>
      </c>
      <c r="Z72" s="1" t="str">
        <f t="shared" si="6"/>
        <v>Big Order</v>
      </c>
    </row>
    <row r="73" spans="2:26" x14ac:dyDescent="0.3">
      <c r="B73" s="1" t="s">
        <v>305</v>
      </c>
      <c r="C73" s="1">
        <v>44994</v>
      </c>
      <c r="D73" s="1" t="s">
        <v>306</v>
      </c>
      <c r="E73" s="1" t="s">
        <v>161</v>
      </c>
      <c r="F73" s="1" t="s">
        <v>188</v>
      </c>
      <c r="G73" s="1" t="s">
        <v>168</v>
      </c>
      <c r="H73" s="1">
        <v>2</v>
      </c>
      <c r="I73" s="1">
        <v>951</v>
      </c>
      <c r="J73" s="1">
        <v>1902</v>
      </c>
      <c r="K73" s="1" t="s">
        <v>182</v>
      </c>
      <c r="M73" s="1">
        <f t="shared" si="4"/>
        <v>951</v>
      </c>
      <c r="Q73" s="1">
        <f t="shared" si="5"/>
        <v>1902</v>
      </c>
      <c r="Z73" s="1" t="str">
        <f t="shared" si="6"/>
        <v>Small Order</v>
      </c>
    </row>
    <row r="74" spans="2:26" x14ac:dyDescent="0.3">
      <c r="B74" s="1" t="s">
        <v>307</v>
      </c>
      <c r="C74" s="1">
        <v>44995</v>
      </c>
      <c r="D74" s="1" t="s">
        <v>308</v>
      </c>
      <c r="E74" s="1" t="s">
        <v>152</v>
      </c>
      <c r="F74" s="1" t="s">
        <v>153</v>
      </c>
      <c r="G74" s="1" t="s">
        <v>168</v>
      </c>
      <c r="H74" s="1">
        <v>1</v>
      </c>
      <c r="I74" s="1">
        <v>1894</v>
      </c>
      <c r="J74" s="1">
        <v>1894</v>
      </c>
      <c r="K74" s="1" t="s">
        <v>182</v>
      </c>
      <c r="M74" s="1">
        <f t="shared" si="4"/>
        <v>1894</v>
      </c>
      <c r="Q74" s="1">
        <f t="shared" si="5"/>
        <v>1894</v>
      </c>
      <c r="Z74" s="1" t="str">
        <f t="shared" si="6"/>
        <v>Small Order</v>
      </c>
    </row>
    <row r="75" spans="2:26" x14ac:dyDescent="0.3">
      <c r="B75" s="1" t="s">
        <v>309</v>
      </c>
      <c r="C75" s="1">
        <v>44996</v>
      </c>
      <c r="D75" s="1" t="s">
        <v>310</v>
      </c>
      <c r="E75" s="1" t="s">
        <v>152</v>
      </c>
      <c r="F75" s="1" t="s">
        <v>153</v>
      </c>
      <c r="G75" s="1" t="s">
        <v>191</v>
      </c>
      <c r="H75" s="1">
        <v>5</v>
      </c>
      <c r="I75" s="1">
        <v>1617</v>
      </c>
      <c r="J75" s="1">
        <v>8085</v>
      </c>
      <c r="K75" s="1" t="s">
        <v>174</v>
      </c>
      <c r="M75" s="1">
        <f t="shared" si="4"/>
        <v>1617</v>
      </c>
      <c r="Q75" s="1">
        <f t="shared" si="5"/>
        <v>8085</v>
      </c>
      <c r="Z75" s="1" t="str">
        <f t="shared" si="6"/>
        <v>Small Order</v>
      </c>
    </row>
    <row r="76" spans="2:26" x14ac:dyDescent="0.3">
      <c r="B76" s="1" t="s">
        <v>311</v>
      </c>
      <c r="C76" s="1">
        <v>44997</v>
      </c>
      <c r="D76" s="1" t="s">
        <v>312</v>
      </c>
      <c r="E76" s="1" t="s">
        <v>172</v>
      </c>
      <c r="F76" s="1" t="s">
        <v>188</v>
      </c>
      <c r="G76" s="1" t="s">
        <v>168</v>
      </c>
      <c r="H76" s="1">
        <v>6</v>
      </c>
      <c r="I76" s="1">
        <v>1348</v>
      </c>
      <c r="J76" s="1">
        <v>8088</v>
      </c>
      <c r="K76" s="1" t="s">
        <v>174</v>
      </c>
      <c r="M76" s="1">
        <f t="shared" si="4"/>
        <v>1348</v>
      </c>
      <c r="Q76" s="1">
        <f t="shared" si="5"/>
        <v>8088</v>
      </c>
      <c r="Z76" s="1" t="str">
        <f t="shared" si="6"/>
        <v>Small Order</v>
      </c>
    </row>
    <row r="77" spans="2:26" x14ac:dyDescent="0.3">
      <c r="B77" s="1" t="s">
        <v>313</v>
      </c>
      <c r="C77" s="1">
        <v>44998</v>
      </c>
      <c r="D77" s="1" t="s">
        <v>314</v>
      </c>
      <c r="E77" s="1" t="s">
        <v>166</v>
      </c>
      <c r="F77" s="1" t="s">
        <v>167</v>
      </c>
      <c r="G77" s="1" t="s">
        <v>212</v>
      </c>
      <c r="H77" s="1">
        <v>5</v>
      </c>
      <c r="I77" s="1">
        <v>1650</v>
      </c>
      <c r="J77" s="1">
        <v>8250</v>
      </c>
      <c r="K77" s="1" t="s">
        <v>155</v>
      </c>
      <c r="M77" s="1">
        <f t="shared" si="4"/>
        <v>1650</v>
      </c>
      <c r="Q77" s="1">
        <f t="shared" si="5"/>
        <v>8250</v>
      </c>
      <c r="Z77" s="1" t="str">
        <f t="shared" si="6"/>
        <v>Small Order</v>
      </c>
    </row>
    <row r="78" spans="2:26" x14ac:dyDescent="0.3">
      <c r="B78" s="1" t="s">
        <v>315</v>
      </c>
      <c r="C78" s="1">
        <v>44999</v>
      </c>
      <c r="D78" s="1" t="s">
        <v>316</v>
      </c>
      <c r="E78" s="1" t="s">
        <v>152</v>
      </c>
      <c r="F78" s="1" t="s">
        <v>188</v>
      </c>
      <c r="G78" s="1" t="s">
        <v>185</v>
      </c>
      <c r="H78" s="1">
        <v>6</v>
      </c>
      <c r="I78" s="1">
        <v>614</v>
      </c>
      <c r="J78" s="1">
        <v>3684</v>
      </c>
      <c r="K78" s="1" t="s">
        <v>158</v>
      </c>
      <c r="M78" s="1">
        <f t="shared" si="4"/>
        <v>614</v>
      </c>
      <c r="Q78" s="1">
        <f t="shared" si="5"/>
        <v>3684</v>
      </c>
      <c r="Z78" s="1" t="str">
        <f t="shared" si="6"/>
        <v>Small Order</v>
      </c>
    </row>
    <row r="79" spans="2:26" x14ac:dyDescent="0.3">
      <c r="B79" s="1" t="s">
        <v>317</v>
      </c>
      <c r="C79" s="1">
        <v>45000</v>
      </c>
      <c r="D79" s="1" t="s">
        <v>318</v>
      </c>
      <c r="E79" s="1" t="s">
        <v>161</v>
      </c>
      <c r="F79" s="1" t="s">
        <v>188</v>
      </c>
      <c r="G79" s="1" t="s">
        <v>179</v>
      </c>
      <c r="H79" s="1">
        <v>1</v>
      </c>
      <c r="I79" s="1">
        <v>959</v>
      </c>
      <c r="J79" s="1">
        <v>959</v>
      </c>
      <c r="K79" s="1" t="s">
        <v>169</v>
      </c>
      <c r="M79" s="1">
        <f t="shared" si="4"/>
        <v>959</v>
      </c>
      <c r="Q79" s="1">
        <f t="shared" si="5"/>
        <v>959</v>
      </c>
      <c r="Z79" s="1" t="str">
        <f t="shared" si="6"/>
        <v>Small Order</v>
      </c>
    </row>
    <row r="80" spans="2:26" x14ac:dyDescent="0.3">
      <c r="B80" s="1" t="s">
        <v>319</v>
      </c>
      <c r="C80" s="1">
        <v>45001</v>
      </c>
      <c r="D80" s="1" t="s">
        <v>320</v>
      </c>
      <c r="E80" s="1" t="s">
        <v>161</v>
      </c>
      <c r="F80" s="1" t="s">
        <v>162</v>
      </c>
      <c r="G80" s="1" t="s">
        <v>154</v>
      </c>
      <c r="H80" s="1">
        <v>8</v>
      </c>
      <c r="I80" s="1">
        <v>1086</v>
      </c>
      <c r="J80" s="1">
        <v>8688</v>
      </c>
      <c r="K80" s="1" t="s">
        <v>155</v>
      </c>
      <c r="M80" s="1">
        <f t="shared" si="4"/>
        <v>1086</v>
      </c>
      <c r="Q80" s="1">
        <f t="shared" si="5"/>
        <v>8688</v>
      </c>
      <c r="Z80" s="1" t="str">
        <f t="shared" si="6"/>
        <v>Small Order</v>
      </c>
    </row>
    <row r="81" spans="2:26" x14ac:dyDescent="0.3">
      <c r="B81" s="1" t="s">
        <v>321</v>
      </c>
      <c r="C81" s="1">
        <v>45002</v>
      </c>
      <c r="D81" s="1" t="s">
        <v>322</v>
      </c>
      <c r="E81" s="1" t="s">
        <v>152</v>
      </c>
      <c r="F81" s="1" t="s">
        <v>153</v>
      </c>
      <c r="G81" s="1" t="s">
        <v>163</v>
      </c>
      <c r="H81" s="1">
        <v>2</v>
      </c>
      <c r="I81" s="1">
        <v>466</v>
      </c>
      <c r="J81" s="1">
        <v>932</v>
      </c>
      <c r="K81" s="1" t="s">
        <v>155</v>
      </c>
      <c r="M81" s="1">
        <f t="shared" si="4"/>
        <v>466</v>
      </c>
      <c r="Q81" s="1">
        <f t="shared" si="5"/>
        <v>932</v>
      </c>
      <c r="Z81" s="1" t="str">
        <f t="shared" si="6"/>
        <v>Small Order</v>
      </c>
    </row>
    <row r="82" spans="2:26" x14ac:dyDescent="0.3">
      <c r="B82" s="1" t="s">
        <v>323</v>
      </c>
      <c r="C82" s="1">
        <v>45003</v>
      </c>
      <c r="D82" s="1" t="s">
        <v>324</v>
      </c>
      <c r="E82" s="1" t="s">
        <v>172</v>
      </c>
      <c r="F82" s="1" t="s">
        <v>162</v>
      </c>
      <c r="G82" s="1" t="s">
        <v>185</v>
      </c>
      <c r="H82" s="1">
        <v>3</v>
      </c>
      <c r="I82" s="1">
        <v>1362</v>
      </c>
      <c r="J82" s="1">
        <v>4086</v>
      </c>
      <c r="K82" s="1" t="s">
        <v>155</v>
      </c>
      <c r="M82" s="1">
        <f t="shared" si="4"/>
        <v>1362</v>
      </c>
      <c r="Q82" s="1">
        <f t="shared" si="5"/>
        <v>4086</v>
      </c>
      <c r="Z82" s="1" t="str">
        <f t="shared" si="6"/>
        <v>Small Order</v>
      </c>
    </row>
    <row r="83" spans="2:26" x14ac:dyDescent="0.3">
      <c r="B83" s="1" t="s">
        <v>325</v>
      </c>
      <c r="C83" s="1">
        <v>45004</v>
      </c>
      <c r="D83" s="1" t="s">
        <v>326</v>
      </c>
      <c r="E83" s="1" t="s">
        <v>166</v>
      </c>
      <c r="F83" s="1" t="s">
        <v>167</v>
      </c>
      <c r="G83" s="1" t="s">
        <v>212</v>
      </c>
      <c r="H83" s="1">
        <v>3</v>
      </c>
      <c r="I83" s="1">
        <v>772</v>
      </c>
      <c r="J83" s="1">
        <v>2316</v>
      </c>
      <c r="K83" s="1" t="s">
        <v>155</v>
      </c>
      <c r="M83" s="1">
        <f t="shared" si="4"/>
        <v>772</v>
      </c>
      <c r="Q83" s="1">
        <f t="shared" si="5"/>
        <v>2316</v>
      </c>
      <c r="Z83" s="1" t="str">
        <f t="shared" si="6"/>
        <v>Small Order</v>
      </c>
    </row>
    <row r="84" spans="2:26" x14ac:dyDescent="0.3">
      <c r="B84" s="1" t="s">
        <v>327</v>
      </c>
      <c r="C84" s="1">
        <v>45005</v>
      </c>
      <c r="D84" s="1" t="s">
        <v>328</v>
      </c>
      <c r="E84" s="1" t="s">
        <v>166</v>
      </c>
      <c r="F84" s="1" t="s">
        <v>167</v>
      </c>
      <c r="G84" s="1" t="s">
        <v>163</v>
      </c>
      <c r="H84" s="1">
        <v>8</v>
      </c>
      <c r="I84" s="1">
        <v>1051</v>
      </c>
      <c r="J84" s="1">
        <v>8408</v>
      </c>
      <c r="K84" s="1" t="s">
        <v>169</v>
      </c>
      <c r="M84" s="1">
        <f t="shared" si="4"/>
        <v>1051</v>
      </c>
      <c r="Q84" s="1">
        <f t="shared" si="5"/>
        <v>8408</v>
      </c>
      <c r="Z84" s="1" t="str">
        <f t="shared" si="6"/>
        <v>Small Order</v>
      </c>
    </row>
    <row r="85" spans="2:26" x14ac:dyDescent="0.3">
      <c r="B85" s="1" t="s">
        <v>329</v>
      </c>
      <c r="C85" s="1">
        <v>45006</v>
      </c>
      <c r="D85" s="1" t="s">
        <v>330</v>
      </c>
      <c r="E85" s="1" t="s">
        <v>161</v>
      </c>
      <c r="F85" s="1" t="s">
        <v>188</v>
      </c>
      <c r="G85" s="1" t="s">
        <v>212</v>
      </c>
      <c r="H85" s="1">
        <v>8</v>
      </c>
      <c r="I85" s="1">
        <v>477</v>
      </c>
      <c r="J85" s="1">
        <v>3816</v>
      </c>
      <c r="K85" s="1" t="s">
        <v>155</v>
      </c>
      <c r="M85" s="1">
        <f t="shared" si="4"/>
        <v>477</v>
      </c>
      <c r="Q85" s="1">
        <f t="shared" si="5"/>
        <v>3816</v>
      </c>
      <c r="Z85" s="1" t="str">
        <f t="shared" si="6"/>
        <v>Small Order</v>
      </c>
    </row>
    <row r="86" spans="2:26" x14ac:dyDescent="0.3">
      <c r="B86" s="1" t="s">
        <v>331</v>
      </c>
      <c r="C86" s="1">
        <v>45007</v>
      </c>
      <c r="D86" s="1" t="s">
        <v>332</v>
      </c>
      <c r="E86" s="1" t="s">
        <v>172</v>
      </c>
      <c r="F86" s="1" t="s">
        <v>188</v>
      </c>
      <c r="G86" s="1" t="s">
        <v>185</v>
      </c>
      <c r="H86" s="1">
        <v>4</v>
      </c>
      <c r="I86" s="1">
        <v>1412</v>
      </c>
      <c r="J86" s="1">
        <v>5648</v>
      </c>
      <c r="K86" s="1" t="s">
        <v>155</v>
      </c>
      <c r="M86" s="1">
        <f t="shared" si="4"/>
        <v>1412</v>
      </c>
      <c r="Q86" s="1">
        <f t="shared" si="5"/>
        <v>5648</v>
      </c>
      <c r="Z86" s="1" t="str">
        <f t="shared" si="6"/>
        <v>Small Order</v>
      </c>
    </row>
    <row r="87" spans="2:26" x14ac:dyDescent="0.3">
      <c r="B87" s="1" t="s">
        <v>333</v>
      </c>
      <c r="C87" s="1">
        <v>45008</v>
      </c>
      <c r="D87" s="1" t="s">
        <v>334</v>
      </c>
      <c r="E87" s="1" t="s">
        <v>152</v>
      </c>
      <c r="F87" s="1" t="s">
        <v>153</v>
      </c>
      <c r="G87" s="1" t="s">
        <v>173</v>
      </c>
      <c r="H87" s="1">
        <v>7</v>
      </c>
      <c r="I87" s="1">
        <v>1538</v>
      </c>
      <c r="J87" s="1">
        <v>10766</v>
      </c>
      <c r="K87" s="1" t="s">
        <v>158</v>
      </c>
      <c r="M87" s="1">
        <f t="shared" si="4"/>
        <v>1538</v>
      </c>
      <c r="Q87" s="1">
        <f t="shared" si="5"/>
        <v>10766</v>
      </c>
      <c r="Z87" s="1" t="str">
        <f t="shared" si="6"/>
        <v>Big Order</v>
      </c>
    </row>
    <row r="88" spans="2:26" x14ac:dyDescent="0.3">
      <c r="B88" s="1" t="s">
        <v>335</v>
      </c>
      <c r="C88" s="1">
        <v>45009</v>
      </c>
      <c r="D88" s="1" t="s">
        <v>336</v>
      </c>
      <c r="E88" s="1" t="s">
        <v>161</v>
      </c>
      <c r="F88" s="1" t="s">
        <v>167</v>
      </c>
      <c r="G88" s="1" t="s">
        <v>179</v>
      </c>
      <c r="H88" s="1">
        <v>2</v>
      </c>
      <c r="I88" s="1">
        <v>871</v>
      </c>
      <c r="J88" s="1">
        <v>1742</v>
      </c>
      <c r="K88" s="1" t="s">
        <v>174</v>
      </c>
      <c r="M88" s="1">
        <f>VLOOKUP(G88,G88:I187,3,FALSE)</f>
        <v>871</v>
      </c>
      <c r="Q88" s="1">
        <f t="shared" si="5"/>
        <v>1742</v>
      </c>
      <c r="Z88" s="1" t="str">
        <f t="shared" si="6"/>
        <v>Small Order</v>
      </c>
    </row>
    <row r="89" spans="2:26" x14ac:dyDescent="0.3">
      <c r="B89" s="1" t="s">
        <v>337</v>
      </c>
      <c r="C89" s="1">
        <v>45010</v>
      </c>
      <c r="D89" s="1" t="s">
        <v>338</v>
      </c>
      <c r="E89" s="1" t="s">
        <v>152</v>
      </c>
      <c r="F89" s="1" t="s">
        <v>162</v>
      </c>
      <c r="G89" s="1" t="s">
        <v>185</v>
      </c>
      <c r="H89" s="1">
        <v>9</v>
      </c>
      <c r="I89" s="1">
        <v>1859</v>
      </c>
      <c r="J89" s="1">
        <v>16731</v>
      </c>
      <c r="K89" s="1" t="s">
        <v>158</v>
      </c>
      <c r="M89" s="1">
        <f t="shared" ref="M89:M105" si="7">VLOOKUP(G89,G89:I188,3,FALSE)</f>
        <v>1859</v>
      </c>
      <c r="Q89" s="1">
        <f t="shared" si="5"/>
        <v>16731</v>
      </c>
      <c r="Z89" s="1" t="str">
        <f t="shared" si="6"/>
        <v>Big Order</v>
      </c>
    </row>
    <row r="90" spans="2:26" x14ac:dyDescent="0.3">
      <c r="B90" s="1" t="s">
        <v>339</v>
      </c>
      <c r="C90" s="1">
        <v>45011</v>
      </c>
      <c r="D90" s="1" t="s">
        <v>340</v>
      </c>
      <c r="E90" s="1" t="s">
        <v>161</v>
      </c>
      <c r="F90" s="1" t="s">
        <v>167</v>
      </c>
      <c r="G90" s="1" t="s">
        <v>173</v>
      </c>
      <c r="H90" s="1">
        <v>5</v>
      </c>
      <c r="I90" s="1">
        <v>1357</v>
      </c>
      <c r="J90" s="1">
        <v>6785</v>
      </c>
      <c r="K90" s="1" t="s">
        <v>174</v>
      </c>
      <c r="M90" s="1">
        <f t="shared" si="7"/>
        <v>1357</v>
      </c>
      <c r="Q90" s="1">
        <f t="shared" si="5"/>
        <v>6785</v>
      </c>
      <c r="Z90" s="1" t="str">
        <f t="shared" si="6"/>
        <v>Small Order</v>
      </c>
    </row>
    <row r="91" spans="2:26" x14ac:dyDescent="0.3">
      <c r="B91" s="1" t="s">
        <v>341</v>
      </c>
      <c r="C91" s="1">
        <v>45012</v>
      </c>
      <c r="D91" s="1" t="s">
        <v>342</v>
      </c>
      <c r="E91" s="1" t="s">
        <v>172</v>
      </c>
      <c r="F91" s="1" t="s">
        <v>162</v>
      </c>
      <c r="G91" s="1" t="s">
        <v>154</v>
      </c>
      <c r="H91" s="1">
        <v>2</v>
      </c>
      <c r="I91" s="1">
        <v>1343</v>
      </c>
      <c r="J91" s="1">
        <v>2686</v>
      </c>
      <c r="K91" s="1" t="s">
        <v>174</v>
      </c>
      <c r="M91" s="1">
        <f t="shared" si="7"/>
        <v>1343</v>
      </c>
      <c r="Q91" s="1">
        <f t="shared" si="5"/>
        <v>2686</v>
      </c>
      <c r="Z91" s="1" t="str">
        <f t="shared" si="6"/>
        <v>Small Order</v>
      </c>
    </row>
    <row r="92" spans="2:26" x14ac:dyDescent="0.3">
      <c r="B92" s="1" t="s">
        <v>343</v>
      </c>
      <c r="C92" s="1">
        <v>45013</v>
      </c>
      <c r="D92" s="1" t="s">
        <v>344</v>
      </c>
      <c r="E92" s="1" t="s">
        <v>152</v>
      </c>
      <c r="F92" s="1" t="s">
        <v>162</v>
      </c>
      <c r="G92" s="1" t="s">
        <v>173</v>
      </c>
      <c r="H92" s="1">
        <v>7</v>
      </c>
      <c r="I92" s="1">
        <v>1371</v>
      </c>
      <c r="J92" s="1">
        <v>9597</v>
      </c>
      <c r="K92" s="1" t="s">
        <v>155</v>
      </c>
      <c r="M92" s="1">
        <f t="shared" si="7"/>
        <v>1371</v>
      </c>
      <c r="Q92" s="1">
        <f t="shared" si="5"/>
        <v>9597</v>
      </c>
      <c r="Z92" s="1" t="str">
        <f t="shared" si="6"/>
        <v>Small Order</v>
      </c>
    </row>
    <row r="93" spans="2:26" x14ac:dyDescent="0.3">
      <c r="B93" s="1" t="s">
        <v>345</v>
      </c>
      <c r="C93" s="1">
        <v>45014</v>
      </c>
      <c r="D93" s="1" t="s">
        <v>346</v>
      </c>
      <c r="E93" s="1" t="s">
        <v>166</v>
      </c>
      <c r="F93" s="1" t="s">
        <v>167</v>
      </c>
      <c r="G93" s="1" t="s">
        <v>191</v>
      </c>
      <c r="H93" s="1">
        <v>6</v>
      </c>
      <c r="I93" s="1">
        <v>1971</v>
      </c>
      <c r="J93" s="1">
        <v>11826</v>
      </c>
      <c r="K93" s="1" t="s">
        <v>174</v>
      </c>
      <c r="M93" s="1">
        <f t="shared" si="7"/>
        <v>1971</v>
      </c>
      <c r="Q93" s="1">
        <f t="shared" si="5"/>
        <v>11826</v>
      </c>
      <c r="Z93" s="1" t="str">
        <f t="shared" si="6"/>
        <v>Big Order</v>
      </c>
    </row>
    <row r="94" spans="2:26" x14ac:dyDescent="0.3">
      <c r="B94" s="1" t="s">
        <v>347</v>
      </c>
      <c r="C94" s="1">
        <v>45015</v>
      </c>
      <c r="D94" s="1" t="s">
        <v>348</v>
      </c>
      <c r="E94" s="1" t="s">
        <v>161</v>
      </c>
      <c r="F94" s="1" t="s">
        <v>162</v>
      </c>
      <c r="G94" s="1" t="s">
        <v>168</v>
      </c>
      <c r="H94" s="1">
        <v>1</v>
      </c>
      <c r="I94" s="1">
        <v>980</v>
      </c>
      <c r="J94" s="1">
        <v>980</v>
      </c>
      <c r="K94" s="1" t="s">
        <v>169</v>
      </c>
      <c r="M94" s="1">
        <f t="shared" si="7"/>
        <v>980</v>
      </c>
      <c r="Q94" s="1">
        <f t="shared" si="5"/>
        <v>980</v>
      </c>
      <c r="Z94" s="1" t="str">
        <f t="shared" si="6"/>
        <v>Small Order</v>
      </c>
    </row>
    <row r="95" spans="2:26" x14ac:dyDescent="0.3">
      <c r="B95" s="1" t="s">
        <v>349</v>
      </c>
      <c r="C95" s="1">
        <v>45016</v>
      </c>
      <c r="D95" s="1" t="s">
        <v>350</v>
      </c>
      <c r="E95" s="1" t="s">
        <v>152</v>
      </c>
      <c r="F95" s="1" t="s">
        <v>153</v>
      </c>
      <c r="G95" s="1" t="s">
        <v>179</v>
      </c>
      <c r="H95" s="1">
        <v>4</v>
      </c>
      <c r="I95" s="1">
        <v>1230</v>
      </c>
      <c r="J95" s="1">
        <v>4920</v>
      </c>
      <c r="K95" s="1" t="s">
        <v>158</v>
      </c>
      <c r="M95" s="1">
        <f t="shared" si="7"/>
        <v>1230</v>
      </c>
      <c r="Q95" s="1">
        <f t="shared" si="5"/>
        <v>4920</v>
      </c>
      <c r="Z95" s="1" t="str">
        <f t="shared" si="6"/>
        <v>Small Order</v>
      </c>
    </row>
    <row r="96" spans="2:26" x14ac:dyDescent="0.3">
      <c r="B96" s="1" t="s">
        <v>351</v>
      </c>
      <c r="C96" s="1">
        <v>45017</v>
      </c>
      <c r="D96" s="1" t="s">
        <v>352</v>
      </c>
      <c r="E96" s="1" t="s">
        <v>161</v>
      </c>
      <c r="F96" s="1" t="s">
        <v>162</v>
      </c>
      <c r="G96" s="1" t="s">
        <v>212</v>
      </c>
      <c r="H96" s="1">
        <v>2</v>
      </c>
      <c r="I96" s="1">
        <v>1855</v>
      </c>
      <c r="J96" s="1">
        <v>3710</v>
      </c>
      <c r="K96" s="1" t="s">
        <v>169</v>
      </c>
      <c r="M96" s="1">
        <f t="shared" si="7"/>
        <v>1855</v>
      </c>
      <c r="Q96" s="1">
        <f t="shared" si="5"/>
        <v>3710</v>
      </c>
      <c r="Z96" s="1" t="str">
        <f t="shared" si="6"/>
        <v>Small Order</v>
      </c>
    </row>
    <row r="97" spans="2:26" x14ac:dyDescent="0.3">
      <c r="B97" s="1" t="s">
        <v>353</v>
      </c>
      <c r="C97" s="1">
        <v>45018</v>
      </c>
      <c r="D97" s="1" t="s">
        <v>354</v>
      </c>
      <c r="E97" s="1" t="s">
        <v>166</v>
      </c>
      <c r="F97" s="1" t="s">
        <v>162</v>
      </c>
      <c r="G97" s="1" t="s">
        <v>212</v>
      </c>
      <c r="H97" s="1">
        <v>4</v>
      </c>
      <c r="I97" s="1">
        <v>1970</v>
      </c>
      <c r="J97" s="1">
        <v>7880</v>
      </c>
      <c r="K97" s="1" t="s">
        <v>155</v>
      </c>
      <c r="M97" s="1">
        <f t="shared" si="7"/>
        <v>1970</v>
      </c>
      <c r="Q97" s="1">
        <f t="shared" si="5"/>
        <v>7880</v>
      </c>
      <c r="Z97" s="1" t="str">
        <f t="shared" si="6"/>
        <v>Small Order</v>
      </c>
    </row>
    <row r="98" spans="2:26" x14ac:dyDescent="0.3">
      <c r="B98" s="1" t="s">
        <v>355</v>
      </c>
      <c r="C98" s="1">
        <v>45019</v>
      </c>
      <c r="D98" s="1" t="s">
        <v>356</v>
      </c>
      <c r="E98" s="1" t="s">
        <v>161</v>
      </c>
      <c r="F98" s="1" t="s">
        <v>162</v>
      </c>
      <c r="G98" s="1" t="s">
        <v>173</v>
      </c>
      <c r="H98" s="1">
        <v>8</v>
      </c>
      <c r="I98" s="1">
        <v>211</v>
      </c>
      <c r="J98" s="1">
        <v>1688</v>
      </c>
      <c r="K98" s="1" t="s">
        <v>158</v>
      </c>
      <c r="M98" s="1">
        <f t="shared" si="7"/>
        <v>211</v>
      </c>
      <c r="Q98" s="1">
        <f t="shared" si="5"/>
        <v>1688</v>
      </c>
      <c r="Z98" s="1" t="str">
        <f t="shared" si="6"/>
        <v>Small Order</v>
      </c>
    </row>
    <row r="99" spans="2:26" x14ac:dyDescent="0.3">
      <c r="B99" s="1" t="s">
        <v>357</v>
      </c>
      <c r="C99" s="1">
        <v>45020</v>
      </c>
      <c r="D99" s="1" t="s">
        <v>358</v>
      </c>
      <c r="E99" s="1" t="s">
        <v>161</v>
      </c>
      <c r="F99" s="1" t="s">
        <v>153</v>
      </c>
      <c r="G99" s="1" t="s">
        <v>212</v>
      </c>
      <c r="H99" s="1">
        <v>8</v>
      </c>
      <c r="I99" s="1">
        <v>1657</v>
      </c>
      <c r="J99" s="1">
        <v>13256</v>
      </c>
      <c r="K99" s="1" t="s">
        <v>174</v>
      </c>
      <c r="M99" s="1">
        <f t="shared" si="7"/>
        <v>1657</v>
      </c>
      <c r="Q99" s="1">
        <f t="shared" si="5"/>
        <v>13256</v>
      </c>
      <c r="Z99" s="1" t="str">
        <f t="shared" si="6"/>
        <v>Big Order</v>
      </c>
    </row>
    <row r="100" spans="2:26" x14ac:dyDescent="0.3">
      <c r="B100" s="1" t="s">
        <v>359</v>
      </c>
      <c r="C100" s="1">
        <v>45021</v>
      </c>
      <c r="D100" s="1" t="s">
        <v>360</v>
      </c>
      <c r="E100" s="1" t="s">
        <v>172</v>
      </c>
      <c r="F100" s="1" t="s">
        <v>188</v>
      </c>
      <c r="G100" s="1" t="s">
        <v>191</v>
      </c>
      <c r="H100" s="1">
        <v>8</v>
      </c>
      <c r="I100" s="1">
        <v>258</v>
      </c>
      <c r="J100" s="1">
        <v>2064</v>
      </c>
      <c r="K100" s="1" t="s">
        <v>158</v>
      </c>
      <c r="M100" s="1">
        <f t="shared" si="7"/>
        <v>258</v>
      </c>
      <c r="Q100" s="1">
        <f t="shared" si="5"/>
        <v>2064</v>
      </c>
      <c r="Z100" s="1" t="str">
        <f t="shared" si="6"/>
        <v>Small Order</v>
      </c>
    </row>
    <row r="101" spans="2:26" x14ac:dyDescent="0.3">
      <c r="B101" s="1" t="s">
        <v>361</v>
      </c>
      <c r="C101" s="1">
        <v>45022</v>
      </c>
      <c r="D101" s="1" t="s">
        <v>362</v>
      </c>
      <c r="E101" s="1" t="s">
        <v>152</v>
      </c>
      <c r="F101" s="1" t="s">
        <v>162</v>
      </c>
      <c r="G101" s="1" t="s">
        <v>168</v>
      </c>
      <c r="H101" s="1">
        <v>6</v>
      </c>
      <c r="I101" s="1">
        <v>799</v>
      </c>
      <c r="J101" s="1">
        <v>4794</v>
      </c>
      <c r="K101" s="1" t="s">
        <v>158</v>
      </c>
      <c r="M101" s="1">
        <f t="shared" si="7"/>
        <v>799</v>
      </c>
      <c r="Q101" s="1">
        <f t="shared" si="5"/>
        <v>4794</v>
      </c>
      <c r="Z101" s="1" t="str">
        <f t="shared" si="6"/>
        <v>Small Order</v>
      </c>
    </row>
    <row r="102" spans="2:26" x14ac:dyDescent="0.3">
      <c r="B102" s="1" t="s">
        <v>363</v>
      </c>
      <c r="C102" s="1">
        <v>45023</v>
      </c>
      <c r="D102" s="1" t="s">
        <v>364</v>
      </c>
      <c r="E102" s="1" t="s">
        <v>172</v>
      </c>
      <c r="F102" s="1" t="s">
        <v>153</v>
      </c>
      <c r="G102" s="1" t="s">
        <v>163</v>
      </c>
      <c r="H102" s="1">
        <v>4</v>
      </c>
      <c r="I102" s="1">
        <v>952</v>
      </c>
      <c r="J102" s="1">
        <v>3808</v>
      </c>
      <c r="K102" s="1" t="s">
        <v>158</v>
      </c>
      <c r="M102" s="1">
        <f t="shared" si="7"/>
        <v>952</v>
      </c>
      <c r="Q102" s="1">
        <f t="shared" si="5"/>
        <v>3808</v>
      </c>
      <c r="Z102" s="1" t="str">
        <f t="shared" si="6"/>
        <v>Small Order</v>
      </c>
    </row>
    <row r="103" spans="2:26" x14ac:dyDescent="0.3">
      <c r="B103" s="1" t="s">
        <v>365</v>
      </c>
      <c r="C103" s="1">
        <v>45024</v>
      </c>
      <c r="D103" s="1" t="s">
        <v>366</v>
      </c>
      <c r="E103" s="1" t="s">
        <v>172</v>
      </c>
      <c r="F103" s="1" t="s">
        <v>153</v>
      </c>
      <c r="G103" s="1" t="s">
        <v>168</v>
      </c>
      <c r="H103" s="1">
        <v>7</v>
      </c>
      <c r="I103" s="1">
        <v>899</v>
      </c>
      <c r="J103" s="1">
        <v>6293</v>
      </c>
      <c r="K103" s="1" t="s">
        <v>174</v>
      </c>
      <c r="M103" s="1">
        <f t="shared" si="7"/>
        <v>899</v>
      </c>
      <c r="Q103" s="1">
        <f t="shared" si="5"/>
        <v>6293</v>
      </c>
      <c r="Z103" s="1" t="str">
        <f t="shared" si="6"/>
        <v>Small Order</v>
      </c>
    </row>
    <row r="104" spans="2:26" x14ac:dyDescent="0.3">
      <c r="B104" s="1" t="s">
        <v>367</v>
      </c>
      <c r="C104" s="1">
        <v>45025</v>
      </c>
      <c r="D104" s="1" t="s">
        <v>368</v>
      </c>
      <c r="E104" s="1" t="s">
        <v>161</v>
      </c>
      <c r="F104" s="1" t="s">
        <v>188</v>
      </c>
      <c r="G104" s="1" t="s">
        <v>163</v>
      </c>
      <c r="H104" s="1">
        <v>4</v>
      </c>
      <c r="I104" s="1">
        <v>170</v>
      </c>
      <c r="J104" s="1">
        <v>680</v>
      </c>
      <c r="K104" s="1" t="s">
        <v>158</v>
      </c>
      <c r="M104" s="1">
        <f t="shared" si="7"/>
        <v>170</v>
      </c>
      <c r="Q104" s="1">
        <f t="shared" si="5"/>
        <v>680</v>
      </c>
      <c r="Z104" s="1" t="str">
        <f t="shared" si="6"/>
        <v>Small Order</v>
      </c>
    </row>
    <row r="105" spans="2:26" x14ac:dyDescent="0.3">
      <c r="B105" s="1" t="s">
        <v>369</v>
      </c>
      <c r="C105" s="1">
        <v>45026</v>
      </c>
      <c r="D105" s="1" t="s">
        <v>370</v>
      </c>
      <c r="E105" s="1" t="s">
        <v>166</v>
      </c>
      <c r="F105" s="1" t="s">
        <v>167</v>
      </c>
      <c r="G105" s="1" t="s">
        <v>185</v>
      </c>
      <c r="H105" s="1">
        <v>6</v>
      </c>
      <c r="I105" s="1">
        <v>1860</v>
      </c>
      <c r="J105" s="1">
        <v>11160</v>
      </c>
      <c r="K105" s="1" t="s">
        <v>155</v>
      </c>
      <c r="M105" s="1">
        <f t="shared" si="7"/>
        <v>1860</v>
      </c>
      <c r="Q105" s="1">
        <f t="shared" si="5"/>
        <v>11160</v>
      </c>
      <c r="Z105" s="1" t="str">
        <f t="shared" si="6"/>
        <v>Big Order</v>
      </c>
    </row>
  </sheetData>
  <mergeCells count="11">
    <mergeCell ref="B2:K3"/>
    <mergeCell ref="M2:O2"/>
    <mergeCell ref="Q2:T2"/>
    <mergeCell ref="V2:X2"/>
    <mergeCell ref="AG10:AH10"/>
    <mergeCell ref="AG19:AH19"/>
    <mergeCell ref="AG28:AH28"/>
    <mergeCell ref="Z2:AB2"/>
    <mergeCell ref="AD4:AE4"/>
    <mergeCell ref="AD2:AE2"/>
    <mergeCell ref="AG2:AH2"/>
  </mergeCells>
  <pageMargins left="0.7" right="0.7" top="0.75" bottom="0.75" header="0.3" footer="0.3"/>
  <ignoredErrors>
    <ignoredError sqref="Q7:Q105 AG7:AH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Employee Payroll</vt:lpstr>
      <vt:lpstr>Sheet4</vt:lpstr>
      <vt:lpstr>Sales Performance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Sheeba</dc:creator>
  <cp:lastModifiedBy>Mary Sheeba</cp:lastModifiedBy>
  <dcterms:created xsi:type="dcterms:W3CDTF">2015-06-05T18:17:20Z</dcterms:created>
  <dcterms:modified xsi:type="dcterms:W3CDTF">2025-12-19T08:56:53Z</dcterms:modified>
</cp:coreProperties>
</file>